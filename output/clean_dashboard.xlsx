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astian de Biolley\IT\bank-export\output\"/>
    </mc:Choice>
  </mc:AlternateContent>
  <xr:revisionPtr revIDLastSave="0" documentId="13_ncr:1_{DF567DA3-60B4-47D8-870D-6B94CBA6F71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bcategories" sheetId="1" r:id="rId1"/>
    <sheet name="Lists" sheetId="2" r:id="rId2"/>
    <sheet name="Transactions" sheetId="3" r:id="rId3"/>
    <sheet name="Summary" sheetId="4" r:id="rId4"/>
    <sheet name="Pivot" sheetId="5" r:id="rId5"/>
  </sheets>
  <definedNames>
    <definedName name="Administration">Subcategories!$D$2:$D$9</definedName>
    <definedName name="Capital_Financing">Subcategories!$E$2:$E$7</definedName>
    <definedName name="Marketing">Subcategories!$B$2:$B$8</definedName>
    <definedName name="Revenue">Subcategories!$A$2:$A$8</definedName>
    <definedName name="Technology">Subcategories!$C$2:$C$8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4" l="1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B5" i="4"/>
  <c r="B4" i="4"/>
  <c r="B3" i="4"/>
</calcChain>
</file>

<file path=xl/sharedStrings.xml><?xml version="1.0" encoding="utf-8"?>
<sst xmlns="http://schemas.openxmlformats.org/spreadsheetml/2006/main" count="1114" uniqueCount="332">
  <si>
    <t>Revenue</t>
  </si>
  <si>
    <t>Marketing</t>
  </si>
  <si>
    <t>Technology</t>
  </si>
  <si>
    <t>Administration</t>
  </si>
  <si>
    <t>Capital &amp; Financing</t>
  </si>
  <si>
    <t>Platform Fees</t>
  </si>
  <si>
    <t>Paid Advertising</t>
  </si>
  <si>
    <t>Marketplace Platform</t>
  </si>
  <si>
    <t>Accounting &amp; Fiduciary</t>
  </si>
  <si>
    <t>Share Capital</t>
  </si>
  <si>
    <t>Other Operating Revenue</t>
  </si>
  <si>
    <t>Events &amp; Offline Marketing</t>
  </si>
  <si>
    <t>Hosting &amp; Infrastructure</t>
  </si>
  <si>
    <t>Legal &amp; Compliance</t>
  </si>
  <si>
    <t>Founder Contributions</t>
  </si>
  <si>
    <t>Affiliate Commissions</t>
  </si>
  <si>
    <t>Travel (marketing-related)</t>
  </si>
  <si>
    <t>SaaS Tools</t>
  </si>
  <si>
    <t>Banking Fees</t>
  </si>
  <si>
    <t>Investor Contributions</t>
  </si>
  <si>
    <t>Insurance Commissions</t>
  </si>
  <si>
    <t>Content &amp; SEO</t>
  </si>
  <si>
    <t>Domains &amp; Email</t>
  </si>
  <si>
    <t>Admin Subscriptions</t>
  </si>
  <si>
    <t>Loans</t>
  </si>
  <si>
    <t>Refunds &amp; Reimbursements</t>
  </si>
  <si>
    <t>PR</t>
  </si>
  <si>
    <t>Payments &amp; Transaction Fees</t>
  </si>
  <si>
    <t>Insurance</t>
  </si>
  <si>
    <t>Grants &amp; Subsidies</t>
  </si>
  <si>
    <t>Interest Income</t>
  </si>
  <si>
    <t>Design &amp; Creative</t>
  </si>
  <si>
    <t>Hardware</t>
  </si>
  <si>
    <t>Taxes &amp; VAT</t>
  </si>
  <si>
    <t>Other</t>
  </si>
  <si>
    <t>Office &amp; Supplies</t>
  </si>
  <si>
    <t>Categories (from config)</t>
  </si>
  <si>
    <t>Platform Fees, Other Operating Revenue, Affiliate Commissions, Insurance Commissions, Refunds &amp; Reimbursements, Interest Income, Other</t>
  </si>
  <si>
    <t>Paid Advertising, Events &amp; Offline Marketing, Travel (marketing-related), Content &amp; SEO, PR, Design &amp; Creative, Other</t>
  </si>
  <si>
    <t>Marketplace Platform, Hosting &amp; Infrastructure, SaaS Tools, Domains &amp; Email, Payments &amp; Transaction Fees, Hardware, Other</t>
  </si>
  <si>
    <t>Accounting &amp; Fiduciary, Legal &amp; Compliance, Banking Fees, Admin Subscriptions, Insurance, Taxes &amp; VAT, Office &amp; Supplies, Other</t>
  </si>
  <si>
    <t>Share Capital, Founder Contributions, Investor Contributions, Loans, Grants &amp; Subsidies, Other</t>
  </si>
  <si>
    <t>account_iban</t>
  </si>
  <si>
    <t>booking_date</t>
  </si>
  <si>
    <t>extract_nr</t>
  </si>
  <si>
    <t>transaction_nr</t>
  </si>
  <si>
    <t>counterparty_account</t>
  </si>
  <si>
    <t>counterparty</t>
  </si>
  <si>
    <t>street</t>
  </si>
  <si>
    <t>city</t>
  </si>
  <si>
    <t>description</t>
  </si>
  <si>
    <t>value_date</t>
  </si>
  <si>
    <t>amount</t>
  </si>
  <si>
    <t>currency</t>
  </si>
  <si>
    <t>bic</t>
  </si>
  <si>
    <t>country_code</t>
  </si>
  <si>
    <t>communications</t>
  </si>
  <si>
    <t>raw_type</t>
  </si>
  <si>
    <t>direction</t>
  </si>
  <si>
    <t>month</t>
  </si>
  <si>
    <t>quarter</t>
  </si>
  <si>
    <t>category</t>
  </si>
  <si>
    <t>subcategory</t>
  </si>
  <si>
    <t>BE39 0689 5704 9719</t>
  </si>
  <si>
    <t>2026-03-02</t>
  </si>
  <si>
    <t>FR76 3000 3034 5000 0205 6663 740</t>
  </si>
  <si>
    <t>Yogi Editions</t>
  </si>
  <si>
    <t>VIREMENT BELFIUS MOBILE VERS                           FR76 3000 3034 5000 0205 6663 740 Yogi Editions        FC-26543                                               REF. : 0905471032838 VAL. 02-03</t>
  </si>
  <si>
    <t>EUR</t>
  </si>
  <si>
    <t>SOGEFRPP</t>
  </si>
  <si>
    <t>FC-26543</t>
  </si>
  <si>
    <t>VIREMENT BELFIUS MOBILE VERS                           FR</t>
  </si>
  <si>
    <t>out</t>
  </si>
  <si>
    <t>2026-03</t>
  </si>
  <si>
    <t>2026-Q1</t>
  </si>
  <si>
    <t>MICROSOFT*ADS-G120U356</t>
  </si>
  <si>
    <t>18 MSBILL.INFO</t>
  </si>
  <si>
    <t>PAIEMENT DEBITMASTERCARD VIA eCommerce 01/03           MICROSOFT*ADS-G120U356 MSBILL. INFO IE 50,00 EUR CARTE N° 5255 0604 0603 9797 - de Biolley Sebastian          REF. : 0801T32086197 VAL. 02-03</t>
  </si>
  <si>
    <t>IE</t>
  </si>
  <si>
    <t>PAIEMENT DEBITMASTERCARD VIA</t>
  </si>
  <si>
    <t>PAIEMENT DEBITMASTERCARD VIA eCommerce 28/02           MICROSOFT*ADS-G120U356 MSBILL. INFO IE 50,00 EUR CARTE N° 5255 0604 0603 9797 - de Biolley Sebastian          REF. : 0801S32778200 VAL. 02-03</t>
  </si>
  <si>
    <t>Google ADS3215138576</t>
  </si>
  <si>
    <t>D04 E5W5 DUBLIN 4</t>
  </si>
  <si>
    <t>PAIEMENT DEBITMASTERCARD 01/03 Google ADS3215138576    DUBLIN 4 IE 304,19 EUR CARTE N° 5255 0604 0603 9797 -  de Biolley Sebastian                                   REF. : 0801S32C92398 VAL. 02-03</t>
  </si>
  <si>
    <t>PAIEMENT DEBITMASTERCARD</t>
  </si>
  <si>
    <t>MICROSOFT IRELAND OPER</t>
  </si>
  <si>
    <t>D02 R296 DUBLIN</t>
  </si>
  <si>
    <t>PAIEMENT DEBITMASTERCARD 28/02 MICROSOFT IRELAND OPER  DUBLIN IE 50,00 EUR CARTE N° 5255 0604 0603 9797 - de  Biolley Sebastian                                      REF. : 0801S32838966 VAL. 02-03</t>
  </si>
  <si>
    <t>2026-02-26</t>
  </si>
  <si>
    <t>PAIEMENT DEBITMASTERCARD 25/02 MICROSOFT*ADS-G120U356  MSBILL.INFO IE 50,00 EUR CARTE N° 5255 0604 0603 9797  - de Biolley Sebastian                                 REF. : 0801S2Q144487 VAL. 26-02</t>
  </si>
  <si>
    <t>2026-02</t>
  </si>
  <si>
    <t>2026-02-23</t>
  </si>
  <si>
    <t>5</t>
  </si>
  <si>
    <t>21</t>
  </si>
  <si>
    <t>BIZAY</t>
  </si>
  <si>
    <t>2560 628 BE</t>
  </si>
  <si>
    <t>PAIEMENT DEBITMASTERCARD 21/02 BIZAY BE PT 16,63 EUR   CARTE N° 5255 0604 0603 9797 - de Biolley Sebastian    REF. : 0801S2N624862 VAL. 23-02</t>
  </si>
  <si>
    <t>PT</t>
  </si>
  <si>
    <t>20</t>
  </si>
  <si>
    <t>Magnis Group bvba</t>
  </si>
  <si>
    <t>3500 +3289694906</t>
  </si>
  <si>
    <t>PAIEMENT DEBITMASTERCARD 20/02 Magnis Group bvba       +3289694906 BE 346,00 EUR CARTE N° 5255 0604 0603 9797 - de Biolley Sebastian                                 REF. : 0801S2N236353 VAL. 23-02</t>
  </si>
  <si>
    <t>BE</t>
  </si>
  <si>
    <t>19</t>
  </si>
  <si>
    <t>PAIEMENT DEBITMASTERCARD 21/02 BIZAY BE PT 79,61 EUR   CARTE N° 5255 0604 0603 9797 - de Biolley Sebastian    REF. : 0801S2N624967 VAL. 23-02</t>
  </si>
  <si>
    <t>2026-02-19</t>
  </si>
  <si>
    <t>18</t>
  </si>
  <si>
    <t>MICROSOFT*ADVERTISING</t>
  </si>
  <si>
    <t>PAIEMENT DEBITMASTERCARD 18/02 MICROSOFT*ADVERTISING   MSBILL.INFO IE 50,00 EUR CARTE N° 5255 0604 0603 9797  - de Biolley Sebastian                                 REF. : 0801S2J136810 VAL. 19-02</t>
  </si>
  <si>
    <t>2026-02-18</t>
  </si>
  <si>
    <t>17</t>
  </si>
  <si>
    <t>IT03 Q030 6905 1421 0000 0017 641</t>
  </si>
  <si>
    <t>MECHILLI ROCCO</t>
  </si>
  <si>
    <t>VIREMENT BELFIUS MOBILE VERS                           IT03 Q030 6905 1421 0000 0017 641 MECHILLI ROCCO       Social media strategy                                  REF. : 090541832I399 VAL. 18-02</t>
  </si>
  <si>
    <t>BCITITMM</t>
  </si>
  <si>
    <t>Social media strategy</t>
  </si>
  <si>
    <t>VIREMENT BELFIUS MOBILE VERS                           IT</t>
  </si>
  <si>
    <t>2026-02-16</t>
  </si>
  <si>
    <t>4</t>
  </si>
  <si>
    <t>16</t>
  </si>
  <si>
    <t>Leboncoin</t>
  </si>
  <si>
    <t>75010 Paris</t>
  </si>
  <si>
    <t>PAIEMENT DEBITMASTERCARD VIA eCommerce 14/02 Leboncoin Paris FR 29,03 EUR CARTE N° 5255 0604 0603 9797 - de   Biolley Sebastian                                      REF. : 0801S2G574742 VAL. 16-02</t>
  </si>
  <si>
    <t>FR</t>
  </si>
  <si>
    <t>15</t>
  </si>
  <si>
    <t>PAIEMENT DEBITMASTERCARD VIA eCommerce 14/02 Leboncoin Paris FR 29,03 EUR CARTE N° 5255 0604 0603 9797 - de   Biolley Sebastian                                      REF. : 0801S2G574647 VAL. 16-02</t>
  </si>
  <si>
    <t>14</t>
  </si>
  <si>
    <t>PAIEMENT DEBITMASTERCARD 15/02 Google ADS3215138576    DUBLIN 4 IE 200,00 EUR CARTE N° 5255 0604 0603 9797 -  de Biolley Sebastian                                   REF. : 0801S2GD66184 VAL. 16-02</t>
  </si>
  <si>
    <t>2026-02-09</t>
  </si>
  <si>
    <t>3</t>
  </si>
  <si>
    <t>13</t>
  </si>
  <si>
    <t>www.cleverbridge.net</t>
  </si>
  <si>
    <t>50670 Cologne</t>
  </si>
  <si>
    <t>PAIEMENT DEBITMASTERCARD 07/02 www. cleverbridge. net  Cologne DE 9,67 USD FRAIS DE TRAITEMENT 0,52 EUR + TVA 0,11 EUR CARTE N° 5255 0604 0603 9797 - de Biolley     Sebastian COURS DE CHANGE 1,176399035                  REF. : 0801S29837546 VAL. 09-02</t>
  </si>
  <si>
    <t>DE</t>
  </si>
  <si>
    <t>2026-02-04</t>
  </si>
  <si>
    <t>12</t>
  </si>
  <si>
    <t>RENDER.COM</t>
  </si>
  <si>
    <t>94107 SAN FRANCISCO</t>
  </si>
  <si>
    <t>PAIEMENT DEBITMASTERCARD VIA eCommerce 03/02 RENDER.   COM SAN FRANCISCO US 26,00 USD FRAIS DE TRAITEMENT     0,69 EUR + TVA 0,14 EUR CARTE N° 5255 0604 0603 9797 - de Biolley Sebastian COURS DE CHANGE 1,177536328       REF. : 0801U24010489 VAL. 04-02</t>
  </si>
  <si>
    <t>US</t>
  </si>
  <si>
    <t>11</t>
  </si>
  <si>
    <t>PAIEMENT DEBITMASTERCARD 03/02 Leboncoin Paris FR      29,03 EUR CARTE N° 5255 0604 0603 9797 - de Biolley    Sebastian                                              REF. : 0801S24123642 VAL. 04-02</t>
  </si>
  <si>
    <t>2026-02-02</t>
  </si>
  <si>
    <t>10</t>
  </si>
  <si>
    <t>PAIEMENT DEBITMASTERCARD 01/02 Google ADS3215138576    DUBLIN 4 IE 83,59 EUR CARTE N° 5255 0604 0603 9797 -   de Biolley Sebastian                                   REF. : 0801S22C74223 VAL. 02-02</t>
  </si>
  <si>
    <t>9</t>
  </si>
  <si>
    <t>BE46 7320 5736 4336</t>
  </si>
  <si>
    <t>Fiduciaire Digitale</t>
  </si>
  <si>
    <t>VIREMENT BELFIUS MOBILE VERS BE46 7320 5736 4336       Fiduciaire Digitale +++260/1003/41115+++               REF. : 0905436322232 VAL. 02-02</t>
  </si>
  <si>
    <t>CREGBEBB</t>
  </si>
  <si>
    <t>+++260/1003/41115+++</t>
  </si>
  <si>
    <t>VIREMENT BELFIUS MOBILE VERS BE</t>
  </si>
  <si>
    <t>2026-01-27</t>
  </si>
  <si>
    <t>2</t>
  </si>
  <si>
    <t>8</t>
  </si>
  <si>
    <t>PAIEMENT DEBITMASTERCARD 26/01 Google ADS3215138576    DUBLIN 4 IE 100,00 EUR CARTE N° 5255 0604 0603 9797 -  de Biolley Sebastian                                   REF. : 0801S1R113579 VAL. 27-01</t>
  </si>
  <si>
    <t>2026-01</t>
  </si>
  <si>
    <t>2026-01-26</t>
  </si>
  <si>
    <t>7</t>
  </si>
  <si>
    <t>PAIEMENT DEBITMASTERCARD 23/01 MICROSOFT*ADVERTISING   MSBILL.INFO IE 50,00 EUR CARTE N° 5255 0604 0603 9797  - de Biolley Sebastian                                 REF. : 0801S1Q242382 VAL. 26-01</t>
  </si>
  <si>
    <t>6</t>
  </si>
  <si>
    <t>PAIEMENT DEBITMASTERCARD 23/01 Google ADS3215138576    DUBLIN 4 IE 50,00 EUR CARTE N° 5255 0604 0603 9797 -   de Biolley Sebastian                                   REF. : 0801S1Q154860 VAL. 26-01</t>
  </si>
  <si>
    <t>2026-01-20</t>
  </si>
  <si>
    <t>AMAZON EU SARL</t>
  </si>
  <si>
    <t>75017 PARIS</t>
  </si>
  <si>
    <t>PAIEMENT DEBITMASTERCARD 17/01 AMAZON EU SARL PARIS FR 44,93 EUR CARTE N° 5255 0604 0603 9797 - de Biolley    Sebastian                                              REF. : 0801U1K272040 VAL. 20-01</t>
  </si>
  <si>
    <t>2026-01-07</t>
  </si>
  <si>
    <t>1</t>
  </si>
  <si>
    <t>FRAIS D'EXPEDITION DE VOS AVIS BANCAIRES               REF. : 0817016013612 VAL. 01-01</t>
  </si>
  <si>
    <t>2026-01-01</t>
  </si>
  <si>
    <t>FRAIS D</t>
  </si>
  <si>
    <t>2026-01-06</t>
  </si>
  <si>
    <t>PROJECTIONHUB.COM</t>
  </si>
  <si>
    <t>47356 MIDDLETOWN</t>
  </si>
  <si>
    <t>PAIEMENT DEBITMASTERCARD 05/01 PROJECTIONHUB. COM      MIDDLETOWN US 95,20 USD FRAIS DE TRAITEMENT 1,43 EUR + TVA 0,30 EUR CARTE N° 5255 0604 0603 9797 - de Biolley Sebastian COURS DE CHANGE 1,171259860                  REF. : 0801T16231003 VAL. 06-01</t>
  </si>
  <si>
    <t>2026-01-05</t>
  </si>
  <si>
    <t>PAIEMENT DEBITMASTERCARD VIA eCommerce 03/01 RENDER.   COM SAN FRANCISCO US 26,00 USD FRAIS DE TRAITEMENT     0,69 EUR + TVA 0,14 EUR CARTE N° 5255 0604 0603 9797 - de Biolley Sebastian COURS DE CHANGE 1,171171245       REF. : 0801S15B32601 VAL. 05-01</t>
  </si>
  <si>
    <t>2026-01-02</t>
  </si>
  <si>
    <t>PAIEMENT DEBITMASTERCARD 01/01 Google ADS3215138576    DUBLIN 4 IE 38,59 EUR CARTE N° 5255 0604 0603 9797 -   de Biolley Sebastian                                   REF. : 0801S12649869 VAL. 02-01</t>
  </si>
  <si>
    <t>2025-12-17</t>
  </si>
  <si>
    <t>29</t>
  </si>
  <si>
    <t>SHARETRIBE</t>
  </si>
  <si>
    <t>00130 HELSINKI</t>
  </si>
  <si>
    <t>PAIEMENT DEBITMASTERCARD VIA eCommerce 17/12           SHARETRIBE HELSINKI FI 3487,98 USD FRAIS DE TRAITEMENT 37,72 EUR + TVA 7,92 EUR CARTE N° 5255 0604 0603 9797  - de Biolley Sebastian COURS DE CHANGE 1,173700655     REF. : 0801UCH204038 VAL. 17-12</t>
  </si>
  <si>
    <t>FI</t>
  </si>
  <si>
    <t>2025-12</t>
  </si>
  <si>
    <t>2025-Q4</t>
  </si>
  <si>
    <t>2025-12-10</t>
  </si>
  <si>
    <t>28</t>
  </si>
  <si>
    <t>GOOGLE*ADS3215138576</t>
  </si>
  <si>
    <t>D04 E5W5 CC GOOGLE.COM</t>
  </si>
  <si>
    <t>PAIEMENT DEBITMASTERCARD 31/10 GOOGLE*ADS3215138576 CC GOOGLE.COM IE 49,64 EUR CARTE N° 5255 0604 0603 9797 - de Biolley Sebastian                                   REF. : 0801SCA075188 VAL. 10-12</t>
  </si>
  <si>
    <t>2025-12-08</t>
  </si>
  <si>
    <t>27</t>
  </si>
  <si>
    <t>PAIEMENT DEBITMASTERCARD 06/12 Google ADS3215138576    DUBLIN 4 IE 10,00 EUR CARTE N° 5255 0604 0603 9797 -   de Biolley Sebastian                                   REF. : 0801SC8A03977 VAL. 08-12</t>
  </si>
  <si>
    <t>26</t>
  </si>
  <si>
    <t>BE66 3631 4013 6243</t>
  </si>
  <si>
    <t>It's so Good</t>
  </si>
  <si>
    <t>VIREMENT BELFIUS MOBILE VERS BE66 3631 4013 6243 It's  so Good 69356dc65b01c                                  REF. : 09054212C7157 VAL. 08-12</t>
  </si>
  <si>
    <t>BBRUBEBB</t>
  </si>
  <si>
    <t>69356dc65b01c</t>
  </si>
  <si>
    <t>25</t>
  </si>
  <si>
    <t>FR76 1027 8033 0000 0212 2090 181</t>
  </si>
  <si>
    <t>Les Manalas Ecovoyageurs</t>
  </si>
  <si>
    <t>VIREMENT BELFIUS MOBILE VERS                           FR76 1027 8033 0000 0212 2090 181 Les Manalas          Ecovoyageurs Abonnement personne physique              REF. : 09054646C3525 VAL. 08-12</t>
  </si>
  <si>
    <t>CMCIFR2A</t>
  </si>
  <si>
    <t>Abonnement personne physique</t>
  </si>
  <si>
    <t>2025-12-04</t>
  </si>
  <si>
    <t>24</t>
  </si>
  <si>
    <t>FR76 1680 7003 2338 2797 3321 161</t>
  </si>
  <si>
    <t>SARL CMONEVENT</t>
  </si>
  <si>
    <t>VIREMENT BELFIUS MOBILE VERS                           FR76 1680 7003 2338 2797 3321 161 SARL CMONEVENT       Emplacement exposant                                   REF. : 09054120C4905 VAL. 04-12</t>
  </si>
  <si>
    <t>CCBPFRPPGRE</t>
  </si>
  <si>
    <t>Emplacement exposant</t>
  </si>
  <si>
    <t>23</t>
  </si>
  <si>
    <t>PAIEMENT DEBITMASTERCARD VIA eCommerce 03/12 RENDER.   COM SAN FRANCISCO US 26,00 USD FRAIS DE TRAITEMENT     0,69 EUR + TVA 0,14 EUR CARTE N° 5255 0604 0603 9797 - de Biolley Sebastian COURS DE CHANGE 1,159161847       REF. : 0801UC4343385 VAL. 04-12</t>
  </si>
  <si>
    <t>22</t>
  </si>
  <si>
    <t>FRAIS D'EXPEDITION DE VOS AVIS BANCAIRES               REF. : 08170C3011059 VAL. 01-12</t>
  </si>
  <si>
    <t>2025-12-01</t>
  </si>
  <si>
    <t>2025-12-03</t>
  </si>
  <si>
    <t>EUSKADI LOW COST DONOS</t>
  </si>
  <si>
    <t>20014 DONOSTIA/SAN</t>
  </si>
  <si>
    <t>ACHAT CARBURANT DEBITMASTERCARD 02/12 EUSKADI LOW COST DONOS DONOSTIA/SAN ES 86,59 EUR CARTE N° 5255 0604     0603 9797 - de Biolley Sebastian                       REF. : 0801SC3101891 VAL. 03-12</t>
  </si>
  <si>
    <t>ES</t>
  </si>
  <si>
    <t>ACHAT CARBURANT DEBITMASTERCARD</t>
  </si>
  <si>
    <t>ACHAT CARBURANT DEBITMASTERCARD 02/12 EUSKADI LOW COST DONOS DONOSTIA/SAN ES 43,80 EUR CARTE N° 5255 0604     0603 9797 - de Biolley Sebastian                       REF. : 0801SC3101805 VAL. 03-12</t>
  </si>
  <si>
    <t>2025-11-26</t>
  </si>
  <si>
    <t>PAIEMENT DEBITMASTERCARD VIA eCommerce 25/11           SHARETRIBE HELSINKI FI 369,00 USD FRAIS DE TRAITEMENT  4,44 EUR + TVA 0,93 EUR CARTE N° 5255 0604 0603 9797 - de Biolley Sebastian COURS DE CHANGE 1,150106097       REF. : 0801SBQ122503 VAL. 26-11</t>
  </si>
  <si>
    <t>2025-11</t>
  </si>
  <si>
    <t>2025-11-25</t>
  </si>
  <si>
    <t>PAIEMENT DEBITMASTERCARD 24/11 GOOGLE*ADS3215138576 CC GOOGLE.COM IE 10,00 EUR CARTE N° 5255 0604 0603 9797 - de Biolley Sebastian                                   REF. : 0801UBP192681 VAL. 25-11</t>
  </si>
  <si>
    <t>2025-11-06</t>
  </si>
  <si>
    <t>TARIFICATION DE VOS OPERATIONS DE DEBIT POUR LE MOIS   ECOULE                                                 REF. : 08170B5000714 VAL. 01-11</t>
  </si>
  <si>
    <t>2025-11-01</t>
  </si>
  <si>
    <t>TARIFICATION DE VOS OPERATIONS DE DEBIT POUR LE MOIS   ECOULE                                                 REF</t>
  </si>
  <si>
    <t>FRAIS D'EXPEDITION DE VOS AVIS BANCAIRES               REF. : 08170B5010990 VAL. 01-11</t>
  </si>
  <si>
    <t>2025-11-04</t>
  </si>
  <si>
    <t>PAIEMENT DEBITMASTERCARD VIA eCommerce 03/11 RENDER.   COM SAN FRANCISCO US 26,00 USD FRAIS DE TRAITEMENT     0,70 EUR + TVA 0,15 EUR CARTE N° 5255 0604 0603 9797 - de Biolley Sebastian COURS DE CHANGE 1,151971674       REF. : 0801UB4338728 VAL. 04-11</t>
  </si>
  <si>
    <t>2025-11-03</t>
  </si>
  <si>
    <t>FR76 1695 8000 0154 4021 6924 266</t>
  </si>
  <si>
    <t>PERSPECTIVES VALLEY</t>
  </si>
  <si>
    <t>VIREMENT BELFIUS MOBILE VERS                           FR76 1695 8000 0154 4021 6924 266 PERSPECTIVES VALLEY  REF. : 09054448B3A21 VAL. 03-11</t>
  </si>
  <si>
    <t>QNTOFRP1</t>
  </si>
  <si>
    <t>FR76 1360 6000 0746 3168 7002 386</t>
  </si>
  <si>
    <t>M. COLAS PHILIPPE</t>
  </si>
  <si>
    <t>ENCAISSEMENT UNIQUE DE VOTRE DOMICILIATION EUROPEENNE  BM0000219 (RECURRING) POUR M. COLAS PHILIPPE           COMMUNICATION : VLE Rennes FAC2025/00409 RoofWander    REFERENCE DU CREANCIER : VLE Rennes FAC2025/00409      RoofWander                                             REF. : 08196B3998835 VAL. 03-11</t>
  </si>
  <si>
    <t>AGRIFRPP836</t>
  </si>
  <si>
    <t>ENCAISSEMENT UNIQUE DE VOTRE DOMICILIATION EUROPEENNE  BM</t>
  </si>
  <si>
    <t>D04 E5W5 Dublin</t>
  </si>
  <si>
    <t>PAIEMENT DEBITMASTERCARD 01/11 Google ADS3215138576    Dublin IE 0,16 EUR CARTE N° 5255 0604 0603 9797 - de   Biolley Sebastian                                      REF. : 0801SB3800376 VAL. 03-11</t>
  </si>
  <si>
    <t>IE64 CITI 9900 5124 4170 26</t>
  </si>
  <si>
    <t>Google Ireland Limited</t>
  </si>
  <si>
    <t>GORDON HOUSE,BARROW STREET DUBLIN,D04 E5W5</t>
  </si>
  <si>
    <t>DUBLIN,IE</t>
  </si>
  <si>
    <t>VERSEMENT DE IE64 CITI 9900 5124 4170 26 Google        Ireland Limited GG1045Z8XJ REF. : GG1045Z8XJ VERS      BE39 0689 5704 9719 sebastian de Biolley               REF. : 689539886 VAL. 03-11</t>
  </si>
  <si>
    <t>CITIIE2X</t>
  </si>
  <si>
    <t>GG1045Z8XJ</t>
  </si>
  <si>
    <t>VERSEMENT DE IE</t>
  </si>
  <si>
    <t>in</t>
  </si>
  <si>
    <t>2025-10-29</t>
  </si>
  <si>
    <t>DE74 5776 1591 1731 4962 00</t>
  </si>
  <si>
    <t>Dachzeltnomaden Media GmbH</t>
  </si>
  <si>
    <t>VIREMENT BELFIUS MOBILE VERS                           DE74 5776 1591 1731 4962 00 Dachzeltnomaden Media GmbH Rechnung 5086 - Roofwander                             REF. : 09054256AS653 VAL. 29-10</t>
  </si>
  <si>
    <t>GENODED1BNA</t>
  </si>
  <si>
    <t>Rechnung 5086 - Roofwander</t>
  </si>
  <si>
    <t>VIREMENT BELFIUS MOBILE VERS                           DE</t>
  </si>
  <si>
    <t>2025-10</t>
  </si>
  <si>
    <t>2025-10-27</t>
  </si>
  <si>
    <t>PAIEMENT DEBITMASTERCARD VIA eCommerce 25/10           SHARETRIBE HELSINKI FI 369,00 USD FRAIS DE TRAITEMENT  4,41 EUR + TVA 0,93 EUR CARTE N° 5255 0604 0603 9797 - de Biolley Sebastian COURS DE CHANGE 1,159903213       REF. : 0801SARD57632 VAL. 27-10</t>
  </si>
  <si>
    <t>2025-10-23</t>
  </si>
  <si>
    <t>CRF EXP PLACE D</t>
  </si>
  <si>
    <t>1150  BRUXELLES</t>
  </si>
  <si>
    <t>BANCONTACT - ACHAT - CRF EXP PLACE D - 1150 BRUXELLES  BE - 23/10/25 19:43 - SANS CONTACT - CARTE 5255 06XX   XXXX 9797 - de Biolley Sebastian                       REF. : 0480000012240 VAL. 23-10</t>
  </si>
  <si>
    <t>BANCONTACT</t>
  </si>
  <si>
    <t>BE48 0688 8981 0127</t>
  </si>
  <si>
    <t>UCM TECHNICS ASBL</t>
  </si>
  <si>
    <t>VIREMENT BELFIUS MOBILE VERS BE48 0688 8981 0127 UCM   TECHNICS ASBL +++026/5373/78723+++                     REF. : 09054343AN243 VAL. 23-10</t>
  </si>
  <si>
    <t>GKCCBEBB</t>
  </si>
  <si>
    <t>+++026/5373/78723+++</t>
  </si>
  <si>
    <t>VIREMENT BELFIUS MOBILE VERS BE48 0688 8981 0127 UCM   TECHNICS ASBL +++009/9079/71737+++                     REF. : 09054254AN225 VAL. 23-10</t>
  </si>
  <si>
    <t>+++009/9079/71737+++</t>
  </si>
  <si>
    <t>2025-10-17</t>
  </si>
  <si>
    <t>BE67 0688 9169 7987</t>
  </si>
  <si>
    <t>ETUDE DU NOTAIRE VAN RAEMDONCK Nicolas</t>
  </si>
  <si>
    <t>VIREMENT PAPIER VERS BE67 0688 9169 7987 ETUDE DU      NOTAIRE VAN RAEMDONCK Nicolas 20250210/ROOFWANDER srl  REF. : 070CHOOAAH025 VAL. 17-10</t>
  </si>
  <si>
    <t>20250210/ROOFWANDER srl</t>
  </si>
  <si>
    <t>VIREMENT PAPIER VERS BE</t>
  </si>
  <si>
    <t>2025-09-15</t>
  </si>
  <si>
    <t>FR76 1020 6000 8792 8306 2354 068</t>
  </si>
  <si>
    <t>M.       DARDE LUCAS</t>
  </si>
  <si>
    <t>12 RUE DE LA GARE</t>
  </si>
  <si>
    <t>51380 VERZY</t>
  </si>
  <si>
    <t>VERSEMENT DE FR76 1020 6000 8792 8306 2354 068 M.      DARDE LUCAS investissement dans ma societe VERS        BE39 0689 5704 9719 Roofwander account                 REF. : 626407776 VAL. 11-09</t>
  </si>
  <si>
    <t>2025-09-11</t>
  </si>
  <si>
    <t>AGRIFRPP802</t>
  </si>
  <si>
    <t>investissement dans ma societe</t>
  </si>
  <si>
    <t>VERSEMENT DE FR</t>
  </si>
  <si>
    <t>2025-09</t>
  </si>
  <si>
    <t>2025-Q3</t>
  </si>
  <si>
    <t>2025-09-12</t>
  </si>
  <si>
    <t>BE83 0017 1203 2115</t>
  </si>
  <si>
    <t>DE BIOLLEY SEBASTIAN</t>
  </si>
  <si>
    <t>Avenue Orban 169</t>
  </si>
  <si>
    <t>1150 WOLUWE-SAINT-PIERRE</t>
  </si>
  <si>
    <t>VERSEMENT DE BE83 0017 1203 2115 DE BIOLLEY SEBASTIAN  VERS BE39 0689 5704 9719 roofwander                    REF. : 627770646 VAL. 12-09</t>
  </si>
  <si>
    <t>GEBABEBB</t>
  </si>
  <si>
    <t>VERSEMENT DE BE</t>
  </si>
  <si>
    <t>VERSEMENT DE FR76 1020 6000 8792 8306 2354 068 M.      DARDE LUCAS VERS BE39 0689 5704 9719 Roofwander        account                                                REF. : 626839425 VAL. 11-09</t>
  </si>
  <si>
    <t>IT17 C030 6932 6501 0000 0004 316</t>
  </si>
  <si>
    <t>LENSI SAMUELE</t>
  </si>
  <si>
    <t>VIA LUIGI CADORNA 858</t>
  </si>
  <si>
    <t>20090                              BUCCINASCO                    MI IT</t>
  </si>
  <si>
    <t>VERSEMENT DE IT17 C030 6932 6501 0000 0004 316 LENSI   SAMUELE VERSAMENTO CAPITALE SOCIALE VERS               BE39 0689 5704 9719 ROOFWANDER                         REF. : 626401255 VAL. 11-09</t>
  </si>
  <si>
    <t>IT</t>
  </si>
  <si>
    <t>VERSAMENTO CAPITALE SOCIALE</t>
  </si>
  <si>
    <t>VERSEMENT DE IT</t>
  </si>
  <si>
    <t>Summary</t>
  </si>
  <si>
    <t>Total transactions</t>
  </si>
  <si>
    <t>Total inflow</t>
  </si>
  <si>
    <t>Total outflow</t>
  </si>
  <si>
    <t>Net</t>
  </si>
  <si>
    <t>By category and subcategory</t>
  </si>
  <si>
    <t>Category</t>
  </si>
  <si>
    <t>Subcategory</t>
  </si>
  <si>
    <t>Amount</t>
  </si>
  <si>
    <t>(choose)</t>
  </si>
  <si>
    <t>Row Labels</t>
  </si>
  <si>
    <t>Grand Total</t>
  </si>
  <si>
    <t>Column Labels</t>
  </si>
  <si>
    <t>(blank)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</si>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</sst>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[clean_dashboard.xlsx]Pivot!PivotTable1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E"/>
              <a:t>Amount by Month &amp;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Pivot!$B$1:$B$2</c:f>
              <c:strCache>
                <c:ptCount val="1"/>
                <c:pt idx="0">
                  <c:v>Administration</c:v>
                </c:pt>
              </c:strCache>
            </c:strRef>
          </c:tx>
          <c:invertIfNegative val="0"/>
          <c:cat>
            <c:multiLvlStrRef>
              <c:f>Pivot!$A$3:$A$13</c:f>
              <c:multiLvlStrCache>
                <c:ptCount val="7"/>
                <c:lvl>
                  <c:pt idx="0">
                    <c:v>2025-09</c:v>
                  </c:pt>
                  <c:pt idx="1">
                    <c:v>2025-10</c:v>
                  </c:pt>
                  <c:pt idx="2">
                    <c:v>2025-11</c:v>
                  </c:pt>
                  <c:pt idx="3">
                    <c:v>2025-12</c:v>
                  </c:pt>
                  <c:pt idx="4">
                    <c:v>2026-01</c:v>
                  </c:pt>
                  <c:pt idx="5">
                    <c:v>2026-02</c:v>
                  </c:pt>
                  <c:pt idx="6">
                    <c:v>2026-03</c:v>
                  </c:pt>
                </c:lvl>
                <c:lvl>
                  <c:pt idx="0">
                    <c:v>2025-Q3</c:v>
                  </c:pt>
                  <c:pt idx="1">
                    <c:v>2025-Q4</c:v>
                  </c:pt>
                  <c:pt idx="4">
                    <c:v>2026-Q1</c:v>
                  </c:pt>
                </c:lvl>
              </c:multiLvlStrCache>
            </c:multiLvlStrRef>
          </c:cat>
          <c:val>
            <c:numRef>
              <c:f>Pivot!$B$3:$B$13</c:f>
              <c:numCache>
                <c:formatCode>General</c:formatCode>
                <c:ptCount val="7"/>
                <c:pt idx="1">
                  <c:v>-1688.8899999999999</c:v>
                </c:pt>
                <c:pt idx="2">
                  <c:v>-7.23</c:v>
                </c:pt>
                <c:pt idx="3">
                  <c:v>-153.38</c:v>
                </c:pt>
                <c:pt idx="4">
                  <c:v>-50.91</c:v>
                </c:pt>
                <c:pt idx="5">
                  <c:v>-1003.74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A-442F-B792-40572155A3FF}"/>
            </c:ext>
          </c:extLst>
        </c:ser>
        <c:ser>
          <c:idx val="1"/>
          <c:order val="1"/>
          <c:tx>
            <c:strRef>
              <c:f>Pivot!$C$1:$C$2</c:f>
              <c:strCache>
                <c:ptCount val="1"/>
                <c:pt idx="0">
                  <c:v>Capital &amp; Financing</c:v>
                </c:pt>
              </c:strCache>
            </c:strRef>
          </c:tx>
          <c:invertIfNegative val="0"/>
          <c:cat>
            <c:multiLvlStrRef>
              <c:f>Pivot!$A$3:$A$13</c:f>
              <c:multiLvlStrCache>
                <c:ptCount val="7"/>
                <c:lvl>
                  <c:pt idx="0">
                    <c:v>2025-09</c:v>
                  </c:pt>
                  <c:pt idx="1">
                    <c:v>2025-10</c:v>
                  </c:pt>
                  <c:pt idx="2">
                    <c:v>2025-11</c:v>
                  </c:pt>
                  <c:pt idx="3">
                    <c:v>2025-12</c:v>
                  </c:pt>
                  <c:pt idx="4">
                    <c:v>2026-01</c:v>
                  </c:pt>
                  <c:pt idx="5">
                    <c:v>2026-02</c:v>
                  </c:pt>
                  <c:pt idx="6">
                    <c:v>2026-03</c:v>
                  </c:pt>
                </c:lvl>
                <c:lvl>
                  <c:pt idx="0">
                    <c:v>2025-Q3</c:v>
                  </c:pt>
                  <c:pt idx="1">
                    <c:v>2025-Q4</c:v>
                  </c:pt>
                  <c:pt idx="4">
                    <c:v>2026-Q1</c:v>
                  </c:pt>
                </c:lvl>
              </c:multiLvlStrCache>
            </c:multiLvlStrRef>
          </c:cat>
          <c:val>
            <c:numRef>
              <c:f>Pivot!$C$3:$C$13</c:f>
              <c:numCache>
                <c:formatCode>General</c:formatCode>
                <c:ptCount val="7"/>
                <c:pt idx="0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A-442F-B792-40572155A3FF}"/>
            </c:ext>
          </c:extLst>
        </c:ser>
        <c:ser>
          <c:idx val="2"/>
          <c:order val="2"/>
          <c:tx>
            <c:strRef>
              <c:f>Pivot!$D$1:$D$2</c:f>
              <c:strCache>
                <c:ptCount val="1"/>
                <c:pt idx="0">
                  <c:v>Marketing</c:v>
                </c:pt>
              </c:strCache>
            </c:strRef>
          </c:tx>
          <c:invertIfNegative val="0"/>
          <c:cat>
            <c:multiLvlStrRef>
              <c:f>Pivot!$A$3:$A$13</c:f>
              <c:multiLvlStrCache>
                <c:ptCount val="7"/>
                <c:lvl>
                  <c:pt idx="0">
                    <c:v>2025-09</c:v>
                  </c:pt>
                  <c:pt idx="1">
                    <c:v>2025-10</c:v>
                  </c:pt>
                  <c:pt idx="2">
                    <c:v>2025-11</c:v>
                  </c:pt>
                  <c:pt idx="3">
                    <c:v>2025-12</c:v>
                  </c:pt>
                  <c:pt idx="4">
                    <c:v>2026-01</c:v>
                  </c:pt>
                  <c:pt idx="5">
                    <c:v>2026-02</c:v>
                  </c:pt>
                  <c:pt idx="6">
                    <c:v>2026-03</c:v>
                  </c:pt>
                </c:lvl>
                <c:lvl>
                  <c:pt idx="0">
                    <c:v>2025-Q3</c:v>
                  </c:pt>
                  <c:pt idx="1">
                    <c:v>2025-Q4</c:v>
                  </c:pt>
                  <c:pt idx="4">
                    <c:v>2026-Q1</c:v>
                  </c:pt>
                </c:lvl>
              </c:multiLvlStrCache>
            </c:multiLvlStrRef>
          </c:cat>
          <c:val>
            <c:numRef>
              <c:f>Pivot!$D$3:$D$13</c:f>
              <c:numCache>
                <c:formatCode>General</c:formatCode>
                <c:ptCount val="7"/>
                <c:pt idx="1">
                  <c:v>-660</c:v>
                </c:pt>
                <c:pt idx="2">
                  <c:v>-442.16</c:v>
                </c:pt>
                <c:pt idx="3">
                  <c:v>-580.64</c:v>
                </c:pt>
                <c:pt idx="4">
                  <c:v>-238.59</c:v>
                </c:pt>
                <c:pt idx="5">
                  <c:v>-1416.6799999999998</c:v>
                </c:pt>
                <c:pt idx="6">
                  <c:v>-1204.19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A-442F-B792-40572155A3FF}"/>
            </c:ext>
          </c:extLst>
        </c:ser>
        <c:ser>
          <c:idx val="3"/>
          <c:order val="3"/>
          <c:tx>
            <c:strRef>
              <c:f>Pivot!$E$1:$E$2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multiLvlStrRef>
              <c:f>Pivot!$A$3:$A$13</c:f>
              <c:multiLvlStrCache>
                <c:ptCount val="7"/>
                <c:lvl>
                  <c:pt idx="0">
                    <c:v>2025-09</c:v>
                  </c:pt>
                  <c:pt idx="1">
                    <c:v>2025-10</c:v>
                  </c:pt>
                  <c:pt idx="2">
                    <c:v>2025-11</c:v>
                  </c:pt>
                  <c:pt idx="3">
                    <c:v>2025-12</c:v>
                  </c:pt>
                  <c:pt idx="4">
                    <c:v>2026-01</c:v>
                  </c:pt>
                  <c:pt idx="5">
                    <c:v>2026-02</c:v>
                  </c:pt>
                  <c:pt idx="6">
                    <c:v>2026-03</c:v>
                  </c:pt>
                </c:lvl>
                <c:lvl>
                  <c:pt idx="0">
                    <c:v>2025-Q3</c:v>
                  </c:pt>
                  <c:pt idx="1">
                    <c:v>2025-Q4</c:v>
                  </c:pt>
                  <c:pt idx="4">
                    <c:v>2026-Q1</c:v>
                  </c:pt>
                </c:lvl>
              </c:multiLvlStrCache>
            </c:multiLvlStrRef>
          </c:cat>
          <c:val>
            <c:numRef>
              <c:f>Pivot!$E$3:$E$13</c:f>
              <c:numCache>
                <c:formatCode>General</c:formatCode>
                <c:ptCount val="7"/>
                <c:pt idx="0">
                  <c:v>7000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A-442F-B792-40572155A3FF}"/>
            </c:ext>
          </c:extLst>
        </c:ser>
        <c:ser>
          <c:idx val="4"/>
          <c:order val="4"/>
          <c:tx>
            <c:strRef>
              <c:f>Pivot!$F$1:$F$2</c:f>
              <c:strCache>
                <c:ptCount val="1"/>
                <c:pt idx="0">
                  <c:v>Technology</c:v>
                </c:pt>
              </c:strCache>
            </c:strRef>
          </c:tx>
          <c:invertIfNegative val="0"/>
          <c:cat>
            <c:multiLvlStrRef>
              <c:f>Pivot!$A$3:$A$13</c:f>
              <c:multiLvlStrCache>
                <c:ptCount val="7"/>
                <c:lvl>
                  <c:pt idx="0">
                    <c:v>2025-09</c:v>
                  </c:pt>
                  <c:pt idx="1">
                    <c:v>2025-10</c:v>
                  </c:pt>
                  <c:pt idx="2">
                    <c:v>2025-11</c:v>
                  </c:pt>
                  <c:pt idx="3">
                    <c:v>2025-12</c:v>
                  </c:pt>
                  <c:pt idx="4">
                    <c:v>2026-01</c:v>
                  </c:pt>
                  <c:pt idx="5">
                    <c:v>2026-02</c:v>
                  </c:pt>
                  <c:pt idx="6">
                    <c:v>2026-03</c:v>
                  </c:pt>
                </c:lvl>
                <c:lvl>
                  <c:pt idx="0">
                    <c:v>2025-Q3</c:v>
                  </c:pt>
                  <c:pt idx="1">
                    <c:v>2025-Q4</c:v>
                  </c:pt>
                  <c:pt idx="4">
                    <c:v>2026-Q1</c:v>
                  </c:pt>
                </c:lvl>
              </c:multiLvlStrCache>
            </c:multiLvlStrRef>
          </c:cat>
          <c:val>
            <c:numRef>
              <c:f>Pivot!$F$3:$F$13</c:f>
              <c:numCache>
                <c:formatCode>General</c:formatCode>
                <c:ptCount val="7"/>
                <c:pt idx="1">
                  <c:v>-323.47000000000003</c:v>
                </c:pt>
                <c:pt idx="2">
                  <c:v>-349.63</c:v>
                </c:pt>
                <c:pt idx="3">
                  <c:v>-3040.6800000000003</c:v>
                </c:pt>
                <c:pt idx="4">
                  <c:v>-106.04</c:v>
                </c:pt>
                <c:pt idx="5">
                  <c:v>-31.759999999999998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A-442F-B792-40572155A3FF}"/>
            </c:ext>
          </c:extLst>
        </c:ser>
        <c:ser>
          <c:idx val="5"/>
          <c:order val="5"/>
          <c:tx>
            <c:strRef>
              <c:f>Pivot!$G$1:$G$2</c:f>
              <c:strCache>
                <c:ptCount val="1"/>
                <c:pt idx="0">
                  <c:v>(blank)</c:v>
                </c:pt>
              </c:strCache>
            </c:strRef>
          </c:tx>
          <c:invertIfNegative val="0"/>
          <c:cat>
            <c:multiLvlStrRef>
              <c:f>Pivot!$A$3:$A$13</c:f>
              <c:multiLvlStrCache>
                <c:ptCount val="7"/>
                <c:lvl>
                  <c:pt idx="0">
                    <c:v>2025-09</c:v>
                  </c:pt>
                  <c:pt idx="1">
                    <c:v>2025-10</c:v>
                  </c:pt>
                  <c:pt idx="2">
                    <c:v>2025-11</c:v>
                  </c:pt>
                  <c:pt idx="3">
                    <c:v>2025-12</c:v>
                  </c:pt>
                  <c:pt idx="4">
                    <c:v>2026-01</c:v>
                  </c:pt>
                  <c:pt idx="5">
                    <c:v>2026-02</c:v>
                  </c:pt>
                  <c:pt idx="6">
                    <c:v>2026-03</c:v>
                  </c:pt>
                </c:lvl>
                <c:lvl>
                  <c:pt idx="0">
                    <c:v>2025-Q3</c:v>
                  </c:pt>
                  <c:pt idx="1">
                    <c:v>2025-Q4</c:v>
                  </c:pt>
                  <c:pt idx="4">
                    <c:v>2026-Q1</c:v>
                  </c:pt>
                </c:lvl>
              </c:multiLvlStrCache>
            </c:multiLvlStrRef>
          </c:cat>
          <c:val>
            <c:numRef>
              <c:f>Pivot!$G$3:$G$13</c:f>
              <c:numCache>
                <c:formatCode>General</c:formatCode>
                <c:ptCount val="7"/>
                <c:pt idx="2">
                  <c:v>-375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3A-442F-B792-40572155A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401568"/>
        <c:axId val="322402048"/>
      </c:barChart>
      <c:catAx>
        <c:axId val="32240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2402048"/>
        <c:crosses val="autoZero"/>
        <c:auto val="1"/>
        <c:lblAlgn val="ctr"/>
        <c:lblOffset val="100"/>
        <c:noMultiLvlLbl val="0"/>
      </c:catAx>
      <c:valAx>
        <c:axId val="322402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40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358775</xdr:colOff>
      <xdr:row>7</xdr:row>
      <xdr:rowOff>187325</xdr:rowOff>
    </xdr:from>
    <xdr:to>
      <xdr:col>18</xdr:col>
      <xdr:colOff>561975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61895-B60D-98C1-7994-E712E12ED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de Biolley" refreshedDate="46084.667024884257" createdVersion="8" refreshedVersion="8" minRefreshableVersion="3" recordCount="56" xr:uid="{7A5909CB-8D1A-4C05-A7B1-72FAAAE2A72C}">
  <cacheSource type="worksheet">
    <worksheetSource ref="A1:W57" sheet="Transactions"/>
  </cacheSource>
  <cacheFields count="23">
    <cacheField name="account_iban" numFmtId="0">
      <sharedItems/>
    </cacheField>
    <cacheField name="booking_date" numFmtId="0">
      <sharedItems/>
    </cacheField>
    <cacheField name="extract_nr" numFmtId="0">
      <sharedItems containsBlank="1"/>
    </cacheField>
    <cacheField name="transaction_nr" numFmtId="0">
      <sharedItems containsBlank="1"/>
    </cacheField>
    <cacheField name="counterparty_account" numFmtId="0">
      <sharedItems containsBlank="1"/>
    </cacheField>
    <cacheField name="counterparty" numFmtId="0">
      <sharedItems containsBlank="1"/>
    </cacheField>
    <cacheField name="street" numFmtId="0">
      <sharedItems containsBlank="1"/>
    </cacheField>
    <cacheField name="city" numFmtId="0">
      <sharedItems containsBlank="1"/>
    </cacheField>
    <cacheField name="description" numFmtId="0">
      <sharedItems longText="1"/>
    </cacheField>
    <cacheField name="value_date" numFmtId="0">
      <sharedItems/>
    </cacheField>
    <cacheField name="amount" numFmtId="0">
      <sharedItems containsSemiMixedTypes="0" containsString="0" containsNumber="1" minValue="-3017.42" maxValue="5000"/>
    </cacheField>
    <cacheField name="currency" numFmtId="0">
      <sharedItems/>
    </cacheField>
    <cacheField name="bic" numFmtId="0">
      <sharedItems containsBlank="1"/>
    </cacheField>
    <cacheField name="country_code" numFmtId="0">
      <sharedItems containsBlank="1"/>
    </cacheField>
    <cacheField name="communications" numFmtId="0">
      <sharedItems containsBlank="1" longText="1"/>
    </cacheField>
    <cacheField name="raw_type" numFmtId="0">
      <sharedItems/>
    </cacheField>
    <cacheField name="direction" numFmtId="0">
      <sharedItems/>
    </cacheField>
    <cacheField name="month" numFmtId="0">
      <sharedItems count="7">
        <s v="2026-03"/>
        <s v="2026-02"/>
        <s v="2026-01"/>
        <s v="2025-12"/>
        <s v="2025-11"/>
        <s v="2025-10"/>
        <s v="2025-09"/>
      </sharedItems>
    </cacheField>
    <cacheField name="quarter" numFmtId="0">
      <sharedItems count="3">
        <s v="2026-Q1"/>
        <s v="2025-Q4"/>
        <s v="2025-Q3"/>
      </sharedItems>
    </cacheField>
    <cacheField name="category" numFmtId="0">
      <sharedItems containsBlank="1" count="6">
        <s v="Marketing"/>
        <s v="Administration"/>
        <s v="Technology"/>
        <m/>
        <s v="Revenue"/>
        <s v="Capital &amp; Financing"/>
      </sharedItems>
    </cacheField>
    <cacheField name="subcategory" numFmtId="0">
      <sharedItems containsBlank="1"/>
    </cacheField>
    <cacheField name="category2" numFmtId="0">
      <sharedItems containsNonDate="0" containsString="0" containsBlank="1"/>
    </cacheField>
    <cacheField name="subcategory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BE39 0689 5704 9719"/>
    <s v="2026-03-02"/>
    <m/>
    <m/>
    <s v="FR76 3000 3034 5000 0205 6663 740"/>
    <s v="Yogi Editions"/>
    <m/>
    <m/>
    <s v="VIREMENT BELFIUS MOBILE VERS                           FR76 3000 3034 5000 0205 6663 740 Yogi Editions        FC-26543                                               REF. : 0905471032838 VAL. 02-03"/>
    <s v="2026-03-02"/>
    <n v="-750"/>
    <s v="EUR"/>
    <s v="SOGEFRPP"/>
    <m/>
    <s v="FC-26543"/>
    <s v="VIREMENT BELFIUS MOBILE VERS                           FR"/>
    <s v="out"/>
    <x v="0"/>
    <x v="0"/>
    <x v="0"/>
    <s v="Events &amp; Offline Marketing"/>
    <m/>
    <m/>
  </r>
  <r>
    <s v="BE39 0689 5704 9719"/>
    <s v="2026-03-02"/>
    <m/>
    <m/>
    <m/>
    <s v="MICROSOFT*ADS-G120U356"/>
    <m/>
    <s v="18 MSBILL.INFO"/>
    <s v="PAIEMENT DEBITMASTERCARD VIA eCommerce 01/03           MICROSOFT*ADS-G120U356 MSBILL. INFO IE 50,00 EUR CARTE N° 5255 0604 0603 9797 - de Biolley Sebastian          REF. : 0801T32086197 VAL. 02-03"/>
    <s v="2026-03-02"/>
    <n v="-50"/>
    <s v="EUR"/>
    <m/>
    <s v="IE"/>
    <s v="PAIEMENT DEBITMASTERCARD VIA eCommerce 01/03           MICROSOFT*ADS-G120U356 MSBILL. INFO IE 50,00 EUR CARTE N° 5255 0604 0603 9797 - de Biolley Sebastian          REF. : 0801T32086197 VAL. 02-03"/>
    <s v="PAIEMENT DEBITMASTERCARD VIA"/>
    <s v="out"/>
    <x v="0"/>
    <x v="0"/>
    <x v="0"/>
    <s v="Paid Advertising"/>
    <m/>
    <m/>
  </r>
  <r>
    <s v="BE39 0689 5704 9719"/>
    <s v="2026-03-02"/>
    <m/>
    <m/>
    <m/>
    <s v="MICROSOFT*ADS-G120U356"/>
    <m/>
    <s v="18 MSBILL.INFO"/>
    <s v="PAIEMENT DEBITMASTERCARD VIA eCommerce 28/02           MICROSOFT*ADS-G120U356 MSBILL. INFO IE 50,00 EUR CARTE N° 5255 0604 0603 9797 - de Biolley Sebastian          REF. : 0801S32778200 VAL. 02-03"/>
    <s v="2026-03-02"/>
    <n v="-50"/>
    <s v="EUR"/>
    <m/>
    <s v="IE"/>
    <s v="PAIEMENT DEBITMASTERCARD VIA eCommerce 28/02           MICROSOFT*ADS-G120U356 MSBILL. INFO IE 50,00 EUR CARTE N° 5255 0604 0603 9797 - de Biolley Sebastian          REF. : 0801S32778200 VAL. 02-03"/>
    <s v="PAIEMENT DEBITMASTERCARD VIA"/>
    <s v="out"/>
    <x v="0"/>
    <x v="0"/>
    <x v="0"/>
    <s v="Paid Advertising"/>
    <m/>
    <m/>
  </r>
  <r>
    <s v="BE39 0689 5704 9719"/>
    <s v="2026-03-02"/>
    <m/>
    <m/>
    <m/>
    <s v="Google ADS3215138576"/>
    <m/>
    <s v="D04 E5W5 DUBLIN 4"/>
    <s v="PAIEMENT DEBITMASTERCARD 01/03 Google ADS3215138576    DUBLIN 4 IE 304,19 EUR CARTE N° 5255 0604 0603 9797 -  de Biolley Sebastian                                   REF. : 0801S32C92398 VAL. 02-03"/>
    <s v="2026-03-02"/>
    <n v="-304.19"/>
    <s v="EUR"/>
    <m/>
    <s v="IE"/>
    <s v="PAIEMENT DEBITMASTERCARD 01/03 Google ADS3215138576    DUBLIN 4 IE 304,19 EUR CARTE N° 5255 0604 0603 9797 -  de Biolley Sebastian                                   REF. : 0801S32C92398 VAL. 02-03"/>
    <s v="PAIEMENT DEBITMASTERCARD"/>
    <s v="out"/>
    <x v="0"/>
    <x v="0"/>
    <x v="0"/>
    <s v="Paid Advertising"/>
    <m/>
    <m/>
  </r>
  <r>
    <s v="BE39 0689 5704 9719"/>
    <s v="2026-03-02"/>
    <m/>
    <m/>
    <m/>
    <s v="MICROSOFT IRELAND OPER"/>
    <m/>
    <s v="D02 R296 DUBLIN"/>
    <s v="PAIEMENT DEBITMASTERCARD 28/02 MICROSOFT IRELAND OPER  DUBLIN IE 50,00 EUR CARTE N° 5255 0604 0603 9797 - de  Biolley Sebastian                                      REF. : 0801S32838966 VAL. 02-03"/>
    <s v="2026-03-02"/>
    <n v="-50"/>
    <s v="EUR"/>
    <m/>
    <s v="IE"/>
    <s v="PAIEMENT DEBITMASTERCARD 28/02 MICROSOFT IRELAND OPER  DUBLIN IE 50,00 EUR CARTE N° 5255 0604 0603 9797 - de  Biolley Sebastian                                      REF. : 0801S32838966 VAL. 02-03"/>
    <s v="PAIEMENT DEBITMASTERCARD"/>
    <s v="out"/>
    <x v="0"/>
    <x v="0"/>
    <x v="0"/>
    <s v="Paid Advertising"/>
    <m/>
    <m/>
  </r>
  <r>
    <s v="BE39 0689 5704 9719"/>
    <s v="2026-02-26"/>
    <m/>
    <m/>
    <m/>
    <s v="MICROSOFT*ADS-G120U356"/>
    <m/>
    <s v="18 MSBILL.INFO"/>
    <s v="PAIEMENT DEBITMASTERCARD 25/02 MICROSOFT*ADS-G120U356  MSBILL.INFO IE 50,00 EUR CARTE N° 5255 0604 0603 9797  - de Biolley Sebastian                                 REF. : 0801S2Q144487 VAL. 26-02"/>
    <s v="2026-02-26"/>
    <n v="-50"/>
    <s v="EUR"/>
    <m/>
    <s v="IE"/>
    <s v="PAIEMENT DEBITMASTERCARD 25/02 MICROSOFT*ADS-G120U356  MSBILL.INFO IE 50,00 EUR CARTE N° 5255 0604 0603 9797  - de Biolley Sebastian                                 REF. : 0801S2Q144487 VAL. 26-02"/>
    <s v="PAIEMENT DEBITMASTERCARD"/>
    <s v="out"/>
    <x v="1"/>
    <x v="0"/>
    <x v="0"/>
    <s v="Paid Advertising"/>
    <m/>
    <m/>
  </r>
  <r>
    <s v="BE39 0689 5704 9719"/>
    <s v="2026-02-23"/>
    <s v="5"/>
    <s v="21"/>
    <m/>
    <s v="BIZAY"/>
    <m/>
    <s v="2560 628 BE"/>
    <s v="PAIEMENT DEBITMASTERCARD 21/02 BIZAY BE PT 16,63 EUR   CARTE N° 5255 0604 0603 9797 - de Biolley Sebastian    REF. : 0801S2N624862 VAL. 23-02"/>
    <s v="2026-02-23"/>
    <n v="-16.63"/>
    <s v="EUR"/>
    <m/>
    <s v="PT"/>
    <s v="PAIEMENT DEBITMASTERCARD 21/02 BIZAY BE PT 16,63 EUR   CARTE N° 5255 0604 0603 9797 - de Biolley Sebastian    REF. : 0801S2N624862 VAL. 23-02"/>
    <s v="PAIEMENT DEBITMASTERCARD"/>
    <s v="out"/>
    <x v="1"/>
    <x v="0"/>
    <x v="1"/>
    <s v="Office &amp; Supplies"/>
    <m/>
    <m/>
  </r>
  <r>
    <s v="BE39 0689 5704 9719"/>
    <s v="2026-02-23"/>
    <s v="5"/>
    <s v="20"/>
    <m/>
    <s v="Magnis Group bvba"/>
    <m/>
    <s v="3500 +3289694906"/>
    <s v="PAIEMENT DEBITMASTERCARD 20/02 Magnis Group bvba       +3289694906 BE 346,00 EUR CARTE N° 5255 0604 0603 9797 - de Biolley Sebastian                                 REF. : 0801S2N236353 VAL. 23-02"/>
    <s v="2026-02-23"/>
    <n v="-346"/>
    <s v="EUR"/>
    <m/>
    <s v="BE"/>
    <s v="PAIEMENT DEBITMASTERCARD 20/02 Magnis Group bvba       +3289694906 BE 346,00 EUR CARTE N° 5255 0604 0603 9797 - de Biolley Sebastian                                 REF. : 0801S2N236353 VAL. 23-02"/>
    <s v="PAIEMENT DEBITMASTERCARD"/>
    <s v="out"/>
    <x v="1"/>
    <x v="0"/>
    <x v="0"/>
    <s v="Events &amp; Offline Marketing"/>
    <m/>
    <m/>
  </r>
  <r>
    <s v="BE39 0689 5704 9719"/>
    <s v="2026-02-23"/>
    <s v="5"/>
    <s v="19"/>
    <m/>
    <s v="BIZAY"/>
    <m/>
    <s v="2560 628 BE"/>
    <s v="PAIEMENT DEBITMASTERCARD 21/02 BIZAY BE PT 79,61 EUR   CARTE N° 5255 0604 0603 9797 - de Biolley Sebastian    REF. : 0801S2N624967 VAL. 23-02"/>
    <s v="2026-02-23"/>
    <n v="-79.61"/>
    <s v="EUR"/>
    <m/>
    <s v="PT"/>
    <s v="PAIEMENT DEBITMASTERCARD 21/02 BIZAY BE PT 79,61 EUR   CARTE N° 5255 0604 0603 9797 - de Biolley Sebastian    REF. : 0801S2N624967 VAL. 23-02"/>
    <s v="PAIEMENT DEBITMASTERCARD"/>
    <s v="out"/>
    <x v="1"/>
    <x v="0"/>
    <x v="1"/>
    <s v="Office &amp; Supplies"/>
    <m/>
    <m/>
  </r>
  <r>
    <s v="BE39 0689 5704 9719"/>
    <s v="2026-02-19"/>
    <s v="5"/>
    <s v="18"/>
    <m/>
    <s v="MICROSOFT*ADVERTISING"/>
    <m/>
    <s v="18 MSBILL.INFO"/>
    <s v="PAIEMENT DEBITMASTERCARD 18/02 MICROSOFT*ADVERTISING   MSBILL.INFO IE 50,00 EUR CARTE N° 5255 0604 0603 9797  - de Biolley Sebastian                                 REF. : 0801S2J136810 VAL. 19-02"/>
    <s v="2026-02-19"/>
    <n v="-50"/>
    <s v="EUR"/>
    <m/>
    <s v="IE"/>
    <s v="PAIEMENT DEBITMASTERCARD 18/02 MICROSOFT*ADVERTISING   MSBILL.INFO IE 50,00 EUR CARTE N° 5255 0604 0603 9797  - de Biolley Sebastian                                 REF. : 0801S2J136810 VAL. 19-02"/>
    <s v="PAIEMENT DEBITMASTERCARD"/>
    <s v="out"/>
    <x v="1"/>
    <x v="0"/>
    <x v="0"/>
    <s v="Paid Advertising"/>
    <m/>
    <m/>
  </r>
  <r>
    <s v="BE39 0689 5704 9719"/>
    <s v="2026-02-18"/>
    <s v="5"/>
    <s v="17"/>
    <s v="IT03 Q030 6905 1421 0000 0017 641"/>
    <s v="MECHILLI ROCCO"/>
    <m/>
    <m/>
    <s v="VIREMENT BELFIUS MOBILE VERS                           IT03 Q030 6905 1421 0000 0017 641 MECHILLI ROCCO       Social media strategy                                  REF. : 090541832I399 VAL. 18-02"/>
    <s v="2026-02-18"/>
    <n v="-600"/>
    <s v="EUR"/>
    <s v="BCITITMM"/>
    <m/>
    <s v="Social media strategy"/>
    <s v="VIREMENT BELFIUS MOBILE VERS                           IT"/>
    <s v="out"/>
    <x v="1"/>
    <x v="0"/>
    <x v="0"/>
    <s v="Events &amp; Offline Marketing"/>
    <m/>
    <m/>
  </r>
  <r>
    <s v="BE39 0689 5704 9719"/>
    <s v="2026-02-16"/>
    <s v="4"/>
    <s v="16"/>
    <m/>
    <s v="Leboncoin"/>
    <m/>
    <s v="75010 Paris"/>
    <s v="PAIEMENT DEBITMASTERCARD VIA eCommerce 14/02 Leboncoin Paris FR 29,03 EUR CARTE N° 5255 0604 0603 9797 - de   Biolley Sebastian                                      REF. : 0801S2G574742 VAL. 16-02"/>
    <s v="2026-02-16"/>
    <n v="-29.03"/>
    <s v="EUR"/>
    <m/>
    <s v="FR"/>
    <s v="PAIEMENT DEBITMASTERCARD VIA eCommerce 14/02 Leboncoin Paris FR 29,03 EUR CARTE N° 5255 0604 0603 9797 - de   Biolley Sebastian                                      REF. : 0801S2G574742 VAL. 16-02"/>
    <s v="PAIEMENT DEBITMASTERCARD VIA"/>
    <s v="out"/>
    <x v="1"/>
    <x v="0"/>
    <x v="0"/>
    <s v="Paid Advertising"/>
    <m/>
    <m/>
  </r>
  <r>
    <s v="BE39 0689 5704 9719"/>
    <s v="2026-02-16"/>
    <s v="4"/>
    <s v="15"/>
    <m/>
    <s v="Leboncoin"/>
    <m/>
    <s v="75010 Paris"/>
    <s v="PAIEMENT DEBITMASTERCARD VIA eCommerce 14/02 Leboncoin Paris FR 29,03 EUR CARTE N° 5255 0604 0603 9797 - de   Biolley Sebastian                                      REF. : 0801S2G574647 VAL. 16-02"/>
    <s v="2026-02-16"/>
    <n v="-29.03"/>
    <s v="EUR"/>
    <m/>
    <s v="FR"/>
    <s v="PAIEMENT DEBITMASTERCARD VIA eCommerce 14/02 Leboncoin Paris FR 29,03 EUR CARTE N° 5255 0604 0603 9797 - de   Biolley Sebastian                                      REF. : 0801S2G574647 VAL. 16-02"/>
    <s v="PAIEMENT DEBITMASTERCARD VIA"/>
    <s v="out"/>
    <x v="1"/>
    <x v="0"/>
    <x v="0"/>
    <s v="Paid Advertising"/>
    <m/>
    <m/>
  </r>
  <r>
    <s v="BE39 0689 5704 9719"/>
    <s v="2026-02-16"/>
    <s v="4"/>
    <s v="14"/>
    <m/>
    <s v="Google ADS3215138576"/>
    <m/>
    <s v="D04 E5W5 DUBLIN 4"/>
    <s v="PAIEMENT DEBITMASTERCARD 15/02 Google ADS3215138576    DUBLIN 4 IE 200,00 EUR CARTE N° 5255 0604 0603 9797 -  de Biolley Sebastian                                   REF. : 0801S2GD66184 VAL. 16-02"/>
    <s v="2026-02-16"/>
    <n v="-200"/>
    <s v="EUR"/>
    <m/>
    <s v="IE"/>
    <s v="PAIEMENT DEBITMASTERCARD 15/02 Google ADS3215138576    DUBLIN 4 IE 200,00 EUR CARTE N° 5255 0604 0603 9797 -  de Biolley Sebastian                                   REF. : 0801S2GD66184 VAL. 16-02"/>
    <s v="PAIEMENT DEBITMASTERCARD"/>
    <s v="out"/>
    <x v="1"/>
    <x v="0"/>
    <x v="0"/>
    <s v="Paid Advertising"/>
    <m/>
    <m/>
  </r>
  <r>
    <s v="BE39 0689 5704 9719"/>
    <s v="2026-02-09"/>
    <s v="3"/>
    <s v="13"/>
    <m/>
    <s v="www.cleverbridge.net"/>
    <m/>
    <s v="50670 Cologne"/>
    <s v="PAIEMENT DEBITMASTERCARD 07/02 www. cleverbridge. net  Cologne DE 9,67 USD FRAIS DE TRAITEMENT 0,52 EUR + TVA 0,11 EUR CARTE N° 5255 0604 0603 9797 - de Biolley     Sebastian COURS DE CHANGE 1,176399035                  REF. : 0801S29837546 VAL. 09-02"/>
    <s v="2026-02-09"/>
    <n v="-8.85"/>
    <s v="EUR"/>
    <m/>
    <s v="DE"/>
    <s v="PAIEMENT DEBITMASTERCARD 07/02 www. cleverbridge. net  Cologne DE 9,67 USD FRAIS DE TRAITEMENT 0,52 EUR + TVA 0,11 EUR CARTE N° 5255 0604 0603 9797 - de Biolley     Sebastian COURS DE CHANGE 1,176399035                  REF. : 0801S29837546 VAL. 09-02"/>
    <s v="PAIEMENT DEBITMASTERCARD"/>
    <s v="out"/>
    <x v="1"/>
    <x v="0"/>
    <x v="2"/>
    <s v="SaaS Tools"/>
    <m/>
    <m/>
  </r>
  <r>
    <s v="BE39 0689 5704 9719"/>
    <s v="2026-02-04"/>
    <s v="3"/>
    <s v="12"/>
    <m/>
    <s v="RENDER.COM"/>
    <m/>
    <s v="94107 SAN FRANCISCO"/>
    <s v="PAIEMENT DEBITMASTERCARD VIA eCommerce 03/02 RENDER.   COM SAN FRANCISCO US 26,00 USD FRAIS DE TRAITEMENT     0,69 EUR + TVA 0,14 EUR CARTE N° 5255 0604 0603 9797 - de Biolley Sebastian COURS DE CHANGE 1,177536328       REF. : 0801U24010489 VAL. 04-02"/>
    <s v="2026-02-04"/>
    <n v="-22.91"/>
    <s v="EUR"/>
    <m/>
    <s v="US"/>
    <s v="PAIEMENT DEBITMASTERCARD VIA eCommerce 03/02 RENDER.   COM SAN FRANCISCO US 26,00 USD FRAIS DE TRAITEMENT     0,69 EUR + TVA 0,14 EUR CARTE N° 5255 0604 0603 9797 - de Biolley Sebastian COURS DE CHANGE 1,177536328       REF. : 0801U24010489 VAL. 04-02"/>
    <s v="PAIEMENT DEBITMASTERCARD VIA"/>
    <s v="out"/>
    <x v="1"/>
    <x v="0"/>
    <x v="2"/>
    <s v="Hosting &amp; Infrastructure"/>
    <m/>
    <m/>
  </r>
  <r>
    <s v="BE39 0689 5704 9719"/>
    <s v="2026-02-04"/>
    <s v="3"/>
    <s v="11"/>
    <m/>
    <s v="Leboncoin"/>
    <m/>
    <s v="75010 Paris"/>
    <s v="PAIEMENT DEBITMASTERCARD 03/02 Leboncoin Paris FR      29,03 EUR CARTE N° 5255 0604 0603 9797 - de Biolley    Sebastian                                              REF. : 0801S24123642 VAL. 04-02"/>
    <s v="2026-02-04"/>
    <n v="-29.03"/>
    <s v="EUR"/>
    <m/>
    <s v="FR"/>
    <s v="PAIEMENT DEBITMASTERCARD 03/02 Leboncoin Paris FR      29,03 EUR CARTE N° 5255 0604 0603 9797 - de Biolley    Sebastian                                              REF. : 0801S24123642 VAL. 04-02"/>
    <s v="PAIEMENT DEBITMASTERCARD"/>
    <s v="out"/>
    <x v="1"/>
    <x v="0"/>
    <x v="0"/>
    <s v="Paid Advertising"/>
    <m/>
    <m/>
  </r>
  <r>
    <s v="BE39 0689 5704 9719"/>
    <s v="2026-02-02"/>
    <s v="3"/>
    <s v="10"/>
    <m/>
    <s v="Google ADS3215138576"/>
    <m/>
    <s v="D04 E5W5 DUBLIN 4"/>
    <s v="PAIEMENT DEBITMASTERCARD 01/02 Google ADS3215138576    DUBLIN 4 IE 83,59 EUR CARTE N° 5255 0604 0603 9797 -   de Biolley Sebastian                                   REF. : 0801S22C74223 VAL. 02-02"/>
    <s v="2026-02-02"/>
    <n v="-83.59"/>
    <s v="EUR"/>
    <m/>
    <s v="IE"/>
    <s v="PAIEMENT DEBITMASTERCARD 01/02 Google ADS3215138576    DUBLIN 4 IE 83,59 EUR CARTE N° 5255 0604 0603 9797 -   de Biolley Sebastian                                   REF. : 0801S22C74223 VAL. 02-02"/>
    <s v="PAIEMENT DEBITMASTERCARD"/>
    <s v="out"/>
    <x v="1"/>
    <x v="0"/>
    <x v="0"/>
    <s v="Paid Advertising"/>
    <m/>
    <m/>
  </r>
  <r>
    <s v="BE39 0689 5704 9719"/>
    <s v="2026-02-02"/>
    <s v="3"/>
    <s v="9"/>
    <s v="BE46 7320 5736 4336"/>
    <s v="Fiduciaire Digitale"/>
    <m/>
    <m/>
    <s v="VIREMENT BELFIUS MOBILE VERS BE46 7320 5736 4336       Fiduciaire Digitale +++260/1003/41115+++               REF. : 0905436322232 VAL. 02-02"/>
    <s v="2026-02-02"/>
    <n v="-907.5"/>
    <s v="EUR"/>
    <s v="CREGBEBB"/>
    <m/>
    <s v="+++260/1003/41115+++"/>
    <s v="VIREMENT BELFIUS MOBILE VERS BE"/>
    <s v="out"/>
    <x v="1"/>
    <x v="0"/>
    <x v="1"/>
    <s v="Accounting &amp; Fiduciary"/>
    <m/>
    <m/>
  </r>
  <r>
    <s v="BE39 0689 5704 9719"/>
    <s v="2026-01-27"/>
    <s v="2"/>
    <s v="8"/>
    <m/>
    <s v="Google ADS3215138576"/>
    <m/>
    <s v="D04 E5W5 DUBLIN 4"/>
    <s v="PAIEMENT DEBITMASTERCARD 26/01 Google ADS3215138576    DUBLIN 4 IE 100,00 EUR CARTE N° 5255 0604 0603 9797 -  de Biolley Sebastian                                   REF. : 0801S1R113579 VAL. 27-01"/>
    <s v="2026-01-27"/>
    <n v="-100"/>
    <s v="EUR"/>
    <m/>
    <s v="IE"/>
    <s v="PAIEMENT DEBITMASTERCARD 26/01 Google ADS3215138576    DUBLIN 4 IE 100,00 EUR CARTE N° 5255 0604 0603 9797 -  de Biolley Sebastian                                   REF. : 0801S1R113579 VAL. 27-01"/>
    <s v="PAIEMENT DEBITMASTERCARD"/>
    <s v="out"/>
    <x v="2"/>
    <x v="0"/>
    <x v="0"/>
    <s v="Paid Advertising"/>
    <m/>
    <m/>
  </r>
  <r>
    <s v="BE39 0689 5704 9719"/>
    <s v="2026-01-26"/>
    <s v="2"/>
    <s v="7"/>
    <m/>
    <s v="MICROSOFT*ADVERTISING"/>
    <m/>
    <s v="18 MSBILL.INFO"/>
    <s v="PAIEMENT DEBITMASTERCARD 23/01 MICROSOFT*ADVERTISING   MSBILL.INFO IE 50,00 EUR CARTE N° 5255 0604 0603 9797  - de Biolley Sebastian                                 REF. : 0801S1Q242382 VAL. 26-01"/>
    <s v="2026-01-26"/>
    <n v="-50"/>
    <s v="EUR"/>
    <m/>
    <s v="IE"/>
    <s v="PAIEMENT DEBITMASTERCARD 23/01 MICROSOFT*ADVERTISING   MSBILL.INFO IE 50,00 EUR CARTE N° 5255 0604 0603 9797  - de Biolley Sebastian                                 REF. : 0801S1Q242382 VAL. 26-01"/>
    <s v="PAIEMENT DEBITMASTERCARD"/>
    <s v="out"/>
    <x v="2"/>
    <x v="0"/>
    <x v="0"/>
    <s v="Paid Advertising"/>
    <m/>
    <m/>
  </r>
  <r>
    <s v="BE39 0689 5704 9719"/>
    <s v="2026-01-26"/>
    <s v="2"/>
    <s v="6"/>
    <m/>
    <s v="Google ADS3215138576"/>
    <m/>
    <s v="D04 E5W5 DUBLIN 4"/>
    <s v="PAIEMENT DEBITMASTERCARD 23/01 Google ADS3215138576    DUBLIN 4 IE 50,00 EUR CARTE N° 5255 0604 0603 9797 -   de Biolley Sebastian                                   REF. : 0801S1Q154860 VAL. 26-01"/>
    <s v="2026-01-26"/>
    <n v="-50"/>
    <s v="EUR"/>
    <m/>
    <s v="IE"/>
    <s v="PAIEMENT DEBITMASTERCARD 23/01 Google ADS3215138576    DUBLIN 4 IE 50,00 EUR CARTE N° 5255 0604 0603 9797 -   de Biolley Sebastian                                   REF. : 0801S1Q154860 VAL. 26-01"/>
    <s v="PAIEMENT DEBITMASTERCARD"/>
    <s v="out"/>
    <x v="2"/>
    <x v="0"/>
    <x v="0"/>
    <s v="Paid Advertising"/>
    <m/>
    <m/>
  </r>
  <r>
    <s v="BE39 0689 5704 9719"/>
    <s v="2026-01-20"/>
    <s v="2"/>
    <s v="5"/>
    <m/>
    <s v="AMAZON EU SARL"/>
    <m/>
    <s v="75017 PARIS"/>
    <s v="PAIEMENT DEBITMASTERCARD 17/01 AMAZON EU SARL PARIS FR 44,93 EUR CARTE N° 5255 0604 0603 9797 - de Biolley    Sebastian                                              REF. : 0801U1K272040 VAL. 20-01"/>
    <s v="2026-01-20"/>
    <n v="-44.93"/>
    <s v="EUR"/>
    <m/>
    <s v="FR"/>
    <s v="PAIEMENT DEBITMASTERCARD 17/01 AMAZON EU SARL PARIS FR 44,93 EUR CARTE N° 5255 0604 0603 9797 - de Biolley    Sebastian                                              REF. : 0801U1K272040 VAL. 20-01"/>
    <s v="PAIEMENT DEBITMASTERCARD"/>
    <s v="out"/>
    <x v="2"/>
    <x v="0"/>
    <x v="1"/>
    <s v="Office &amp; Supplies"/>
    <m/>
    <m/>
  </r>
  <r>
    <s v="BE39 0689 5704 9719"/>
    <s v="2026-01-07"/>
    <s v="1"/>
    <s v="4"/>
    <m/>
    <m/>
    <m/>
    <m/>
    <s v="FRAIS D'EXPEDITION DE VOS AVIS BANCAIRES               REF. : 0817016013612 VAL. 01-01"/>
    <s v="2026-01-01"/>
    <n v="-5.98"/>
    <s v="EUR"/>
    <m/>
    <m/>
    <s v="FRAIS D'EXPEDITION DE VOS AVIS BANCAIRES               REF. : 0817016013612 VAL. 01-01"/>
    <s v="FRAIS D"/>
    <s v="out"/>
    <x v="2"/>
    <x v="0"/>
    <x v="1"/>
    <s v="Banking Fees"/>
    <m/>
    <m/>
  </r>
  <r>
    <s v="BE39 0689 5704 9719"/>
    <s v="2026-01-06"/>
    <s v="1"/>
    <s v="3"/>
    <m/>
    <s v="PROJECTIONHUB.COM"/>
    <m/>
    <s v="47356 MIDDLETOWN"/>
    <s v="PAIEMENT DEBITMASTERCARD 05/01 PROJECTIONHUB. COM      MIDDLETOWN US 95,20 USD FRAIS DE TRAITEMENT 1,43 EUR + TVA 0,30 EUR CARTE N° 5255 0604 0603 9797 - de Biolley Sebastian COURS DE CHANGE 1,171259860                  REF. : 0801T16231003 VAL. 06-01"/>
    <s v="2026-01-06"/>
    <n v="-83.01"/>
    <s v="EUR"/>
    <m/>
    <s v="US"/>
    <s v="PAIEMENT DEBITMASTERCARD 05/01 PROJECTIONHUB. COM      MIDDLETOWN US 95,20 USD FRAIS DE TRAITEMENT 1,43 EUR + TVA 0,30 EUR CARTE N° 5255 0604 0603 9797 - de Biolley Sebastian COURS DE CHANGE 1,171259860                  REF. : 0801T16231003 VAL. 06-01"/>
    <s v="PAIEMENT DEBITMASTERCARD"/>
    <s v="out"/>
    <x v="2"/>
    <x v="0"/>
    <x v="2"/>
    <s v="SaaS Tools"/>
    <m/>
    <m/>
  </r>
  <r>
    <s v="BE39 0689 5704 9719"/>
    <s v="2026-01-05"/>
    <s v="1"/>
    <s v="2"/>
    <m/>
    <s v="RENDER.COM"/>
    <m/>
    <s v="94107 SAN FRANCISCO"/>
    <s v="PAIEMENT DEBITMASTERCARD VIA eCommerce 03/01 RENDER.   COM SAN FRANCISCO US 26,00 USD FRAIS DE TRAITEMENT     0,69 EUR + TVA 0,14 EUR CARTE N° 5255 0604 0603 9797 - de Biolley Sebastian COURS DE CHANGE 1,171171245       REF. : 0801S15B32601 VAL. 05-01"/>
    <s v="2026-01-05"/>
    <n v="-23.03"/>
    <s v="EUR"/>
    <m/>
    <s v="US"/>
    <s v="PAIEMENT DEBITMASTERCARD VIA eCommerce 03/01 RENDER.   COM SAN FRANCISCO US 26,00 USD FRAIS DE TRAITEMENT     0,69 EUR + TVA 0,14 EUR CARTE N° 5255 0604 0603 9797 - de Biolley Sebastian COURS DE CHANGE 1,171171245       REF. : 0801S15B32601 VAL. 05-01"/>
    <s v="PAIEMENT DEBITMASTERCARD VIA"/>
    <s v="out"/>
    <x v="2"/>
    <x v="0"/>
    <x v="2"/>
    <s v="Hosting &amp; Infrastructure"/>
    <m/>
    <m/>
  </r>
  <r>
    <s v="BE39 0689 5704 9719"/>
    <s v="2026-01-02"/>
    <s v="1"/>
    <s v="1"/>
    <m/>
    <s v="Google ADS3215138576"/>
    <m/>
    <s v="D04 E5W5 DUBLIN 4"/>
    <s v="PAIEMENT DEBITMASTERCARD 01/01 Google ADS3215138576    DUBLIN 4 IE 38,59 EUR CARTE N° 5255 0604 0603 9797 -   de Biolley Sebastian                                   REF. : 0801S12649869 VAL. 02-01"/>
    <s v="2026-01-02"/>
    <n v="-38.590000000000003"/>
    <s v="EUR"/>
    <m/>
    <s v="IE"/>
    <s v="PAIEMENT DEBITMASTERCARD 01/01 Google ADS3215138576    DUBLIN 4 IE 38,59 EUR CARTE N° 5255 0604 0603 9797 -   de Biolley Sebastian                                   REF. : 0801S12649869 VAL. 02-01"/>
    <s v="PAIEMENT DEBITMASTERCARD"/>
    <s v="out"/>
    <x v="2"/>
    <x v="0"/>
    <x v="0"/>
    <s v="Paid Advertising"/>
    <m/>
    <m/>
  </r>
  <r>
    <s v="BE39 0689 5704 9719"/>
    <s v="2025-12-17"/>
    <s v="7"/>
    <s v="29"/>
    <m/>
    <s v="SHARETRIBE"/>
    <m/>
    <s v="00130 HELSINKI"/>
    <s v="PAIEMENT DEBITMASTERCARD VIA eCommerce 17/12           SHARETRIBE HELSINKI FI 3487,98 USD FRAIS DE TRAITEMENT 37,72 EUR + TVA 7,92 EUR CARTE N° 5255 0604 0603 9797  - de Biolley Sebastian COURS DE CHANGE 1,173700655     REF. : 0801UCH204038 VAL. 17-12"/>
    <s v="2025-12-17"/>
    <n v="-3017.42"/>
    <s v="EUR"/>
    <m/>
    <s v="FI"/>
    <s v="PAIEMENT DEBITMASTERCARD VIA eCommerce 17/12           SHARETRIBE HELSINKI FI 3487,98 USD FRAIS DE TRAITEMENT 37,72 EUR + TVA 7,92 EUR CARTE N° 5255 0604 0603 9797  - de Biolley Sebastian COURS DE CHANGE 1,173700655     REF. : 0801UCH204038 VAL. 17-12"/>
    <s v="PAIEMENT DEBITMASTERCARD VIA"/>
    <s v="out"/>
    <x v="3"/>
    <x v="1"/>
    <x v="2"/>
    <s v="Marketplace Platform"/>
    <m/>
    <m/>
  </r>
  <r>
    <s v="BE39 0689 5704 9719"/>
    <s v="2025-12-10"/>
    <s v="6"/>
    <s v="28"/>
    <m/>
    <s v="GOOGLE*ADS3215138576"/>
    <m/>
    <s v="D04 E5W5 CC GOOGLE.COM"/>
    <s v="PAIEMENT DEBITMASTERCARD 31/10 GOOGLE*ADS3215138576 CC GOOGLE.COM IE 49,64 EUR CARTE N° 5255 0604 0603 9797 - de Biolley Sebastian                                   REF. : 0801SCA075188 VAL. 10-12"/>
    <s v="2025-12-10"/>
    <n v="-49.64"/>
    <s v="EUR"/>
    <m/>
    <s v="IE"/>
    <s v="PAIEMENT DEBITMASTERCARD 31/10 GOOGLE*ADS3215138576 CC GOOGLE.COM IE 49,64 EUR CARTE N° 5255 0604 0603 9797 - de Biolley Sebastian                                   REF. : 0801SCA075188 VAL. 10-12"/>
    <s v="PAIEMENT DEBITMASTERCARD"/>
    <s v="out"/>
    <x v="3"/>
    <x v="1"/>
    <x v="0"/>
    <s v="Paid Advertising"/>
    <m/>
    <m/>
  </r>
  <r>
    <s v="BE39 0689 5704 9719"/>
    <s v="2025-12-08"/>
    <s v="6"/>
    <s v="27"/>
    <m/>
    <s v="Google ADS3215138576"/>
    <m/>
    <s v="D04 E5W5 DUBLIN 4"/>
    <s v="PAIEMENT DEBITMASTERCARD 06/12 Google ADS3215138576    DUBLIN 4 IE 10,00 EUR CARTE N° 5255 0604 0603 9797 -   de Biolley Sebastian                                   REF. : 0801SC8A03977 VAL. 08-12"/>
    <s v="2025-12-08"/>
    <n v="-10"/>
    <s v="EUR"/>
    <m/>
    <s v="IE"/>
    <s v="PAIEMENT DEBITMASTERCARD 06/12 Google ADS3215138576    DUBLIN 4 IE 10,00 EUR CARTE N° 5255 0604 0603 9797 -   de Biolley Sebastian                                   REF. : 0801SC8A03977 VAL. 08-12"/>
    <s v="PAIEMENT DEBITMASTERCARD"/>
    <s v="out"/>
    <x v="3"/>
    <x v="1"/>
    <x v="0"/>
    <s v="Paid Advertising"/>
    <m/>
    <m/>
  </r>
  <r>
    <s v="BE39 0689 5704 9719"/>
    <s v="2025-12-08"/>
    <s v="6"/>
    <s v="26"/>
    <s v="BE66 3631 4013 6243"/>
    <s v="It's so Good"/>
    <m/>
    <m/>
    <s v="VIREMENT BELFIUS MOBILE VERS BE66 3631 4013 6243 It's  so Good 69356dc65b01c                                  REF. : 09054212C7157 VAL. 08-12"/>
    <s v="2025-12-08"/>
    <n v="-121"/>
    <s v="EUR"/>
    <s v="BBRUBEBB"/>
    <m/>
    <s v="69356dc65b01c"/>
    <s v="VIREMENT BELFIUS MOBILE VERS BE"/>
    <s v="out"/>
    <x v="3"/>
    <x v="1"/>
    <x v="0"/>
    <s v="Events &amp; Offline Marketing"/>
    <m/>
    <m/>
  </r>
  <r>
    <s v="BE39 0689 5704 9719"/>
    <s v="2025-12-08"/>
    <s v="6"/>
    <s v="25"/>
    <s v="FR76 1027 8033 0000 0212 2090 181"/>
    <s v="Les Manalas Ecovoyageurs"/>
    <m/>
    <m/>
    <s v="VIREMENT BELFIUS MOBILE VERS                           FR76 1027 8033 0000 0212 2090 181 Les Manalas          Ecovoyageurs Abonnement personne physique              REF. : 09054646C3525 VAL. 08-12"/>
    <s v="2025-12-08"/>
    <n v="-20"/>
    <s v="EUR"/>
    <s v="CMCIFR2A"/>
    <m/>
    <s v="Abonnement personne physique"/>
    <s v="VIREMENT BELFIUS MOBILE VERS                           FR"/>
    <s v="out"/>
    <x v="3"/>
    <x v="1"/>
    <x v="1"/>
    <s v="Admin Subscriptions"/>
    <m/>
    <m/>
  </r>
  <r>
    <s v="BE39 0689 5704 9719"/>
    <s v="2025-12-04"/>
    <s v="6"/>
    <s v="24"/>
    <s v="FR76 1680 7003 2338 2797 3321 161"/>
    <s v="SARL CMONEVENT"/>
    <m/>
    <m/>
    <s v="VIREMENT BELFIUS MOBILE VERS                           FR76 1680 7003 2338 2797 3321 161 SARL CMONEVENT       Emplacement exposant                                   REF. : 09054120C4905 VAL. 04-12"/>
    <s v="2025-12-04"/>
    <n v="-400"/>
    <s v="EUR"/>
    <s v="CCBPFRPPGRE"/>
    <m/>
    <s v="Emplacement exposant"/>
    <s v="VIREMENT BELFIUS MOBILE VERS                           FR"/>
    <s v="out"/>
    <x v="3"/>
    <x v="1"/>
    <x v="0"/>
    <s v="Events &amp; Offline Marketing"/>
    <m/>
    <m/>
  </r>
  <r>
    <s v="BE39 0689 5704 9719"/>
    <s v="2025-12-04"/>
    <s v="6"/>
    <s v="23"/>
    <m/>
    <s v="RENDER.COM"/>
    <m/>
    <s v="94107 SAN FRANCISCO"/>
    <s v="PAIEMENT DEBITMASTERCARD VIA eCommerce 03/12 RENDER.   COM SAN FRANCISCO US 26,00 USD FRAIS DE TRAITEMENT     0,69 EUR + TVA 0,14 EUR CARTE N° 5255 0604 0603 9797 - de Biolley Sebastian COURS DE CHANGE 1,159161847       REF. : 0801UC4343385 VAL. 04-12"/>
    <s v="2025-12-04"/>
    <n v="-23.26"/>
    <s v="EUR"/>
    <m/>
    <s v="US"/>
    <s v="PAIEMENT DEBITMASTERCARD VIA eCommerce 03/12 RENDER.   COM SAN FRANCISCO US 26,00 USD FRAIS DE TRAITEMENT     0,69 EUR + TVA 0,14 EUR CARTE N° 5255 0604 0603 9797 - de Biolley Sebastian COURS DE CHANGE 1,159161847       REF. : 0801UC4343385 VAL. 04-12"/>
    <s v="PAIEMENT DEBITMASTERCARD VIA"/>
    <s v="out"/>
    <x v="3"/>
    <x v="1"/>
    <x v="2"/>
    <s v="Hosting &amp; Infrastructure"/>
    <m/>
    <m/>
  </r>
  <r>
    <s v="BE39 0689 5704 9719"/>
    <s v="2025-12-04"/>
    <s v="6"/>
    <s v="22"/>
    <m/>
    <m/>
    <m/>
    <m/>
    <s v="FRAIS D'EXPEDITION DE VOS AVIS BANCAIRES               REF. : 08170C3011059 VAL. 01-12"/>
    <s v="2025-12-01"/>
    <n v="-2.99"/>
    <s v="EUR"/>
    <m/>
    <m/>
    <s v="FRAIS D'EXPEDITION DE VOS AVIS BANCAIRES               REF. : 08170C3011059 VAL. 01-12"/>
    <s v="FRAIS D"/>
    <s v="out"/>
    <x v="3"/>
    <x v="1"/>
    <x v="1"/>
    <s v="Banking Fees"/>
    <m/>
    <m/>
  </r>
  <r>
    <s v="BE39 0689 5704 9719"/>
    <s v="2025-12-03"/>
    <s v="6"/>
    <s v="21"/>
    <m/>
    <s v="EUSKADI LOW COST DONOS"/>
    <m/>
    <s v="20014 DONOSTIA/SAN"/>
    <s v="ACHAT CARBURANT DEBITMASTERCARD 02/12 EUSKADI LOW COST DONOS DONOSTIA/SAN ES 86,59 EUR CARTE N° 5255 0604     0603 9797 - de Biolley Sebastian                       REF. : 0801SC3101891 VAL. 03-12"/>
    <s v="2025-12-03"/>
    <n v="-86.59"/>
    <s v="EUR"/>
    <m/>
    <s v="ES"/>
    <s v="ACHAT CARBURANT DEBITMASTERCARD 02/12 EUSKADI LOW COST DONOS DONOSTIA/SAN ES 86,59 EUR CARTE N° 5255 0604     0603 9797 - de Biolley Sebastian                       REF. : 0801SC3101891 VAL. 03-12"/>
    <s v="ACHAT CARBURANT DEBITMASTERCARD"/>
    <s v="out"/>
    <x v="3"/>
    <x v="1"/>
    <x v="1"/>
    <s v="Office &amp; Supplies"/>
    <m/>
    <m/>
  </r>
  <r>
    <s v="BE39 0689 5704 9719"/>
    <s v="2025-12-03"/>
    <s v="6"/>
    <s v="20"/>
    <m/>
    <s v="EUSKADI LOW COST DONOS"/>
    <m/>
    <s v="20014 DONOSTIA/SAN"/>
    <s v="ACHAT CARBURANT DEBITMASTERCARD 02/12 EUSKADI LOW COST DONOS DONOSTIA/SAN ES 43,80 EUR CARTE N° 5255 0604     0603 9797 - de Biolley Sebastian                       REF. : 0801SC3101805 VAL. 03-12"/>
    <s v="2025-12-03"/>
    <n v="-43.8"/>
    <s v="EUR"/>
    <m/>
    <s v="ES"/>
    <s v="ACHAT CARBURANT DEBITMASTERCARD 02/12 EUSKADI LOW COST DONOS DONOSTIA/SAN ES 43,80 EUR CARTE N° 5255 0604     0603 9797 - de Biolley Sebastian                       REF. : 0801SC3101805 VAL. 03-12"/>
    <s v="ACHAT CARBURANT DEBITMASTERCARD"/>
    <s v="out"/>
    <x v="3"/>
    <x v="1"/>
    <x v="1"/>
    <s v="Office &amp; Supplies"/>
    <m/>
    <m/>
  </r>
  <r>
    <s v="BE39 0689 5704 9719"/>
    <s v="2025-11-26"/>
    <s v="5"/>
    <s v="19"/>
    <m/>
    <s v="SHARETRIBE"/>
    <m/>
    <s v="00130 HELSINKI"/>
    <s v="PAIEMENT DEBITMASTERCARD VIA eCommerce 25/11           SHARETRIBE HELSINKI FI 369,00 USD FRAIS DE TRAITEMENT  4,44 EUR + TVA 0,93 EUR CARTE N° 5255 0604 0603 9797 - de Biolley Sebastian COURS DE CHANGE 1,150106097       REF. : 0801SBQ122503 VAL. 26-11"/>
    <s v="2025-11-26"/>
    <n v="-326.20999999999998"/>
    <s v="EUR"/>
    <m/>
    <s v="FI"/>
    <s v="PAIEMENT DEBITMASTERCARD VIA eCommerce 25/11           SHARETRIBE HELSINKI FI 369,00 USD FRAIS DE TRAITEMENT  4,44 EUR + TVA 0,93 EUR CARTE N° 5255 0604 0603 9797 - de Biolley Sebastian COURS DE CHANGE 1,150106097       REF. : 0801SBQ122503 VAL. 26-11"/>
    <s v="PAIEMENT DEBITMASTERCARD VIA"/>
    <s v="out"/>
    <x v="4"/>
    <x v="1"/>
    <x v="2"/>
    <s v="Marketplace Platform"/>
    <m/>
    <m/>
  </r>
  <r>
    <s v="BE39 0689 5704 9719"/>
    <s v="2025-11-25"/>
    <s v="5"/>
    <s v="18"/>
    <m/>
    <s v="GOOGLE*ADS3215138576"/>
    <m/>
    <s v="D04 E5W5 CC GOOGLE.COM"/>
    <s v="PAIEMENT DEBITMASTERCARD 24/11 GOOGLE*ADS3215138576 CC GOOGLE.COM IE 10,00 EUR CARTE N° 5255 0604 0603 9797 - de Biolley Sebastian                                   REF. : 0801UBP192681 VAL. 25-11"/>
    <s v="2025-11-25"/>
    <n v="-10"/>
    <s v="EUR"/>
    <m/>
    <s v="IE"/>
    <s v="PAIEMENT DEBITMASTERCARD 24/11 GOOGLE*ADS3215138576 CC GOOGLE.COM IE 10,00 EUR CARTE N° 5255 0604 0603 9797 - de Biolley Sebastian                                   REF. : 0801UBP192681 VAL. 25-11"/>
    <s v="PAIEMENT DEBITMASTERCARD"/>
    <s v="out"/>
    <x v="4"/>
    <x v="1"/>
    <x v="0"/>
    <s v="Paid Advertising"/>
    <m/>
    <m/>
  </r>
  <r>
    <s v="BE39 0689 5704 9719"/>
    <s v="2025-11-06"/>
    <s v="4"/>
    <s v="17"/>
    <m/>
    <m/>
    <m/>
    <m/>
    <s v="TARIFICATION DE VOS OPERATIONS DE DEBIT POUR LE MOIS   ECOULE                                                 REF. : 08170B5000714 VAL. 01-11"/>
    <s v="2025-11-01"/>
    <n v="-1.25"/>
    <s v="EUR"/>
    <m/>
    <m/>
    <s v="TARIFICATION DE VOS OPERATIONS DE DEBIT POUR LE MOIS   ECOULE                                                 REF. : 08170B5000714 VAL. 01-11"/>
    <s v="TARIFICATION DE VOS OPERATIONS DE DEBIT POUR LE MOIS   ECOULE                                                 REF"/>
    <s v="out"/>
    <x v="4"/>
    <x v="1"/>
    <x v="1"/>
    <s v="Banking Fees"/>
    <m/>
    <m/>
  </r>
  <r>
    <s v="BE39 0689 5704 9719"/>
    <s v="2025-11-06"/>
    <s v="4"/>
    <s v="16"/>
    <m/>
    <m/>
    <m/>
    <m/>
    <s v="FRAIS D'EXPEDITION DE VOS AVIS BANCAIRES               REF. : 08170B5010990 VAL. 01-11"/>
    <s v="2025-11-01"/>
    <n v="-5.98"/>
    <s v="EUR"/>
    <m/>
    <m/>
    <s v="FRAIS D'EXPEDITION DE VOS AVIS BANCAIRES               REF. : 08170B5010990 VAL. 01-11"/>
    <s v="FRAIS D"/>
    <s v="out"/>
    <x v="4"/>
    <x v="1"/>
    <x v="1"/>
    <s v="Banking Fees"/>
    <m/>
    <m/>
  </r>
  <r>
    <s v="BE39 0689 5704 9719"/>
    <s v="2025-11-04"/>
    <s v="4"/>
    <s v="15"/>
    <m/>
    <s v="RENDER.COM"/>
    <m/>
    <s v="94107 SAN FRANCISCO"/>
    <s v="PAIEMENT DEBITMASTERCARD VIA eCommerce 03/11 RENDER.   COM SAN FRANCISCO US 26,00 USD FRAIS DE TRAITEMENT     0,70 EUR + TVA 0,15 EUR CARTE N° 5255 0604 0603 9797 - de Biolley Sebastian COURS DE CHANGE 1,151971674       REF. : 0801UB4338728 VAL. 04-11"/>
    <s v="2025-11-04"/>
    <n v="-23.42"/>
    <s v="EUR"/>
    <m/>
    <s v="US"/>
    <s v="PAIEMENT DEBITMASTERCARD VIA eCommerce 03/11 RENDER.   COM SAN FRANCISCO US 26,00 USD FRAIS DE TRAITEMENT     0,70 EUR + TVA 0,15 EUR CARTE N° 5255 0604 0603 9797 - de Biolley Sebastian COURS DE CHANGE 1,151971674       REF. : 0801UB4338728 VAL. 04-11"/>
    <s v="PAIEMENT DEBITMASTERCARD VIA"/>
    <s v="out"/>
    <x v="4"/>
    <x v="1"/>
    <x v="2"/>
    <s v="Hosting &amp; Infrastructure"/>
    <m/>
    <m/>
  </r>
  <r>
    <s v="BE39 0689 5704 9719"/>
    <s v="2025-11-03"/>
    <s v="4"/>
    <s v="14"/>
    <s v="FR76 1695 8000 0154 4021 6924 266"/>
    <s v="PERSPECTIVES VALLEY"/>
    <m/>
    <m/>
    <s v="VIREMENT BELFIUS MOBILE VERS                           FR76 1695 8000 0154 4021 6924 266 PERSPECTIVES VALLEY  REF. : 09054448B3A21 VAL. 03-11"/>
    <s v="2025-11-03"/>
    <n v="-432"/>
    <s v="EUR"/>
    <s v="QNTOFRP1"/>
    <m/>
    <m/>
    <s v="VIREMENT BELFIUS MOBILE VERS                           FR"/>
    <s v="out"/>
    <x v="4"/>
    <x v="1"/>
    <x v="0"/>
    <s v="Events &amp; Offline Marketing"/>
    <m/>
    <m/>
  </r>
  <r>
    <s v="BE39 0689 5704 9719"/>
    <s v="2025-11-03"/>
    <s v="4"/>
    <s v="13"/>
    <s v="FR76 1360 6000 0746 3168 7002 386"/>
    <s v="M. COLAS PHILIPPE"/>
    <m/>
    <m/>
    <s v="ENCAISSEMENT UNIQUE DE VOTRE DOMICILIATION EUROPEENNE  BM0000219 (RECURRING) POUR M. COLAS PHILIPPE           COMMUNICATION : VLE Rennes FAC2025/00409 RoofWander    REFERENCE DU CREANCIER : VLE Rennes FAC2025/00409      RoofWander                                             REF. : 08196B3998835 VAL. 03-11"/>
    <s v="2025-11-03"/>
    <n v="-375"/>
    <s v="EUR"/>
    <s v="AGRIFRPP836"/>
    <m/>
    <s v="ENCAISSEMENT UNIQUE DE VOTRE DOMICILIATION EUROPEENNE  BM0000219 (RECURRING) POUR M. COLAS PHILIPPE           COMMUNICATION : VLE Rennes FAC2025/00409 RoofWander    REFERENCE DU CREANCIER : VLE Rennes FAC2025/00409      RoofWander                                             REF. : 08196B3998835 VAL. 03-11"/>
    <s v="ENCAISSEMENT UNIQUE DE VOTRE DOMICILIATION EUROPEENNE  BM"/>
    <s v="out"/>
    <x v="4"/>
    <x v="1"/>
    <x v="3"/>
    <m/>
    <m/>
    <m/>
  </r>
  <r>
    <s v="BE39 0689 5704 9719"/>
    <s v="2025-11-03"/>
    <s v="4"/>
    <s v="12"/>
    <m/>
    <s v="Google ADS3215138576"/>
    <m/>
    <s v="D04 E5W5 Dublin"/>
    <s v="PAIEMENT DEBITMASTERCARD 01/11 Google ADS3215138576    Dublin IE 0,16 EUR CARTE N° 5255 0604 0603 9797 - de   Biolley Sebastian                                      REF. : 0801SB3800376 VAL. 03-11"/>
    <s v="2025-11-03"/>
    <n v="-0.16"/>
    <s v="EUR"/>
    <m/>
    <s v="IE"/>
    <s v="PAIEMENT DEBITMASTERCARD 01/11 Google ADS3215138576    Dublin IE 0,16 EUR CARTE N° 5255 0604 0603 9797 - de   Biolley Sebastian                                      REF. : 0801SB3800376 VAL. 03-11"/>
    <s v="PAIEMENT DEBITMASTERCARD"/>
    <s v="out"/>
    <x v="4"/>
    <x v="1"/>
    <x v="0"/>
    <s v="Paid Advertising"/>
    <m/>
    <m/>
  </r>
  <r>
    <s v="BE39 0689 5704 9719"/>
    <s v="2025-11-03"/>
    <s v="4"/>
    <s v="11"/>
    <s v="IE64 CITI 9900 5124 4170 26"/>
    <s v="Google Ireland Limited"/>
    <s v="GORDON HOUSE,BARROW STREET DUBLIN,D04 E5W5"/>
    <s v="DUBLIN,IE"/>
    <s v="VERSEMENT DE IE64 CITI 9900 5124 4170 26 Google        Ireland Limited GG1045Z8XJ REF. : GG1045Z8XJ VERS      BE39 0689 5704 9719 sebastian de Biolley               REF. : 689539886 VAL. 03-11"/>
    <s v="2025-11-03"/>
    <n v="0.1"/>
    <s v="EUR"/>
    <s v="CITIIE2X"/>
    <s v="IE"/>
    <s v="GG1045Z8XJ"/>
    <s v="VERSEMENT DE IE"/>
    <s v="in"/>
    <x v="4"/>
    <x v="1"/>
    <x v="4"/>
    <s v="Other Operating Revenue"/>
    <m/>
    <m/>
  </r>
  <r>
    <s v="BE39 0689 5704 9719"/>
    <s v="2025-10-29"/>
    <s v="3"/>
    <s v="10"/>
    <s v="DE74 5776 1591 1731 4962 00"/>
    <s v="Dachzeltnomaden Media GmbH"/>
    <m/>
    <m/>
    <s v="VIREMENT BELFIUS MOBILE VERS                           DE74 5776 1591 1731 4962 00 Dachzeltnomaden Media GmbH Rechnung 5086 - Roofwander                             REF. : 09054256AS653 VAL. 29-10"/>
    <s v="2025-10-29"/>
    <n v="-660"/>
    <s v="EUR"/>
    <s v="GENODED1BNA"/>
    <m/>
    <s v="Rechnung 5086 - Roofwander"/>
    <s v="VIREMENT BELFIUS MOBILE VERS                           DE"/>
    <s v="out"/>
    <x v="5"/>
    <x v="1"/>
    <x v="0"/>
    <s v="Events &amp; Offline Marketing"/>
    <m/>
    <m/>
  </r>
  <r>
    <s v="BE39 0689 5704 9719"/>
    <s v="2025-10-27"/>
    <s v="3"/>
    <s v="9"/>
    <m/>
    <s v="SHARETRIBE"/>
    <m/>
    <s v="00130 HELSINKI"/>
    <s v="PAIEMENT DEBITMASTERCARD VIA eCommerce 25/10           SHARETRIBE HELSINKI FI 369,00 USD FRAIS DE TRAITEMENT  4,41 EUR + TVA 0,93 EUR CARTE N° 5255 0604 0603 9797 - de Biolley Sebastian COURS DE CHANGE 1,159903213       REF. : 0801SARD57632 VAL. 27-10"/>
    <s v="2025-10-27"/>
    <n v="-323.47000000000003"/>
    <s v="EUR"/>
    <m/>
    <s v="FI"/>
    <s v="PAIEMENT DEBITMASTERCARD VIA eCommerce 25/10           SHARETRIBE HELSINKI FI 369,00 USD FRAIS DE TRAITEMENT  4,41 EUR + TVA 0,93 EUR CARTE N° 5255 0604 0603 9797 - de Biolley Sebastian COURS DE CHANGE 1,159903213       REF. : 0801SARD57632 VAL. 27-10"/>
    <s v="PAIEMENT DEBITMASTERCARD VIA"/>
    <s v="out"/>
    <x v="5"/>
    <x v="1"/>
    <x v="2"/>
    <s v="Marketplace Platform"/>
    <m/>
    <m/>
  </r>
  <r>
    <s v="BE39 0689 5704 9719"/>
    <s v="2025-10-23"/>
    <s v="2"/>
    <s v="8"/>
    <m/>
    <s v="CRF EXP PLACE D"/>
    <m/>
    <s v="1150  BRUXELLES"/>
    <s v="BANCONTACT - ACHAT - CRF EXP PLACE D - 1150 BRUXELLES  BE - 23/10/25 19:43 - SANS CONTACT - CARTE 5255 06XX   XXXX 9797 - de Biolley Sebastian                       REF. : 0480000012240 VAL. 23-10"/>
    <s v="2025-10-23"/>
    <n v="-2.39"/>
    <s v="EUR"/>
    <m/>
    <s v="BE"/>
    <s v="BANCONTACT - ACHAT - CRF EXP PLACE D - 1150 BRUXELLES  BE - 23/10/25 19:43 - SANS CONTACT - CARTE 5255 06XX   XXXX 9797 - de Biolley Sebastian                       REF. : 0480000012240 VAL. 23-10"/>
    <s v="BANCONTACT"/>
    <s v="out"/>
    <x v="5"/>
    <x v="1"/>
    <x v="1"/>
    <s v="Office &amp; Supplies"/>
    <m/>
    <m/>
  </r>
  <r>
    <s v="BE39 0689 5704 9719"/>
    <s v="2025-10-23"/>
    <s v="2"/>
    <s v="7"/>
    <s v="BE48 0688 8981 0127"/>
    <s v="UCM TECHNICS ASBL"/>
    <m/>
    <m/>
    <s v="VIREMENT BELFIUS MOBILE VERS BE48 0688 8981 0127 UCM   TECHNICS ASBL +++026/5373/78723+++                     REF. : 09054343AN243 VAL. 23-10"/>
    <s v="2025-10-23"/>
    <n v="-77.5"/>
    <s v="EUR"/>
    <s v="GKCCBEBB"/>
    <m/>
    <s v="+++026/5373/78723+++"/>
    <s v="VIREMENT BELFIUS MOBILE VERS BE"/>
    <s v="out"/>
    <x v="5"/>
    <x v="1"/>
    <x v="1"/>
    <s v="Accounting &amp; Fiduciary"/>
    <m/>
    <m/>
  </r>
  <r>
    <s v="BE39 0689 5704 9719"/>
    <s v="2025-10-23"/>
    <s v="2"/>
    <s v="6"/>
    <s v="BE48 0688 8981 0127"/>
    <s v="UCM TECHNICS ASBL"/>
    <m/>
    <m/>
    <s v="VIREMENT BELFIUS MOBILE VERS BE48 0688 8981 0127 UCM   TECHNICS ASBL +++009/9079/71737+++                     REF. : 09054254AN225 VAL. 23-10"/>
    <s v="2025-10-23"/>
    <n v="-109"/>
    <s v="EUR"/>
    <s v="GKCCBEBB"/>
    <m/>
    <s v="+++009/9079/71737+++"/>
    <s v="VIREMENT BELFIUS MOBILE VERS BE"/>
    <s v="out"/>
    <x v="5"/>
    <x v="1"/>
    <x v="1"/>
    <s v="Accounting &amp; Fiduciary"/>
    <m/>
    <m/>
  </r>
  <r>
    <s v="BE39 0689 5704 9719"/>
    <s v="2025-10-17"/>
    <s v="2"/>
    <s v="5"/>
    <s v="BE67 0688 9169 7987"/>
    <s v="ETUDE DU NOTAIRE VAN RAEMDONCK Nicolas"/>
    <m/>
    <m/>
    <s v="VIREMENT PAPIER VERS BE67 0688 9169 7987 ETUDE DU      NOTAIRE VAN RAEMDONCK Nicolas 20250210/ROOFWANDER srl  REF. : 070CHOOAAH025 VAL. 17-10"/>
    <s v="2025-10-17"/>
    <n v="-1500"/>
    <s v="EUR"/>
    <s v="GKCCBEBB"/>
    <m/>
    <s v="20250210/ROOFWANDER srl"/>
    <s v="VIREMENT PAPIER VERS BE"/>
    <s v="out"/>
    <x v="5"/>
    <x v="1"/>
    <x v="1"/>
    <s v="Legal &amp; Compliance"/>
    <m/>
    <m/>
  </r>
  <r>
    <s v="BE39 0689 5704 9719"/>
    <s v="2025-09-15"/>
    <s v="1"/>
    <s v="4"/>
    <s v="FR76 1020 6000 8792 8306 2354 068"/>
    <s v="M.       DARDE LUCAS"/>
    <s v="12 RUE DE LA GARE"/>
    <s v="51380 VERZY"/>
    <s v="VERSEMENT DE FR76 1020 6000 8792 8306 2354 068 M.      DARDE LUCAS investissement dans ma societe VERS        BE39 0689 5704 9719 Roofwander account                 REF. : 626407776 VAL. 11-09"/>
    <s v="2025-09-11"/>
    <n v="3000"/>
    <s v="EUR"/>
    <s v="AGRIFRPP802"/>
    <s v="FR"/>
    <s v="investissement dans ma societe"/>
    <s v="VERSEMENT DE FR"/>
    <s v="in"/>
    <x v="6"/>
    <x v="2"/>
    <x v="5"/>
    <s v="Founder Contributions"/>
    <m/>
    <m/>
  </r>
  <r>
    <s v="BE39 0689 5704 9719"/>
    <s v="2025-09-12"/>
    <s v="1"/>
    <s v="3"/>
    <s v="BE83 0017 1203 2115"/>
    <s v="DE BIOLLEY SEBASTIAN"/>
    <s v="Avenue Orban 169"/>
    <s v="1150 WOLUWE-SAINT-PIERRE"/>
    <s v="VERSEMENT DE BE83 0017 1203 2115 DE BIOLLEY SEBASTIAN  VERS BE39 0689 5704 9719 roofwander                    REF. : 627770646 VAL. 12-09"/>
    <s v="2025-09-12"/>
    <n v="5000"/>
    <s v="EUR"/>
    <s v="GEBABEBB"/>
    <s v="BE"/>
    <m/>
    <s v="VERSEMENT DE BE"/>
    <s v="in"/>
    <x v="6"/>
    <x v="2"/>
    <x v="4"/>
    <s v="Other Operating Revenue"/>
    <m/>
    <m/>
  </r>
  <r>
    <s v="BE39 0689 5704 9719"/>
    <s v="2025-09-11"/>
    <s v="1"/>
    <s v="2"/>
    <s v="FR76 1020 6000 8792 8306 2354 068"/>
    <s v="M.       DARDE LUCAS"/>
    <s v="12 RUE DE LA GARE"/>
    <s v="51380 VERZY"/>
    <s v="VERSEMENT DE FR76 1020 6000 8792 8306 2354 068 M.      DARDE LUCAS VERS BE39 0689 5704 9719 Roofwander        account                                                REF. : 626839425 VAL. 11-09"/>
    <s v="2025-09-11"/>
    <n v="2000"/>
    <s v="EUR"/>
    <s v="AGRIFRPP802"/>
    <s v="FR"/>
    <m/>
    <s v="VERSEMENT DE FR"/>
    <s v="in"/>
    <x v="6"/>
    <x v="2"/>
    <x v="4"/>
    <s v="Other Operating Revenue"/>
    <m/>
    <m/>
  </r>
  <r>
    <s v="BE39 0689 5704 9719"/>
    <s v="2025-09-11"/>
    <s v="1"/>
    <s v="1"/>
    <s v="IT17 C030 6932 6501 0000 0004 316"/>
    <s v="LENSI SAMUELE"/>
    <s v="VIA LUIGI CADORNA 858"/>
    <s v="20090                              BUCCINASCO                    MI IT"/>
    <s v="VERSEMENT DE IT17 C030 6932 6501 0000 0004 316 LENSI   SAMUELE VERSAMENTO CAPITALE SOCIALE VERS               BE39 0689 5704 9719 ROOFWANDER                         REF. : 626401255 VAL. 11-09"/>
    <s v="2025-09-11"/>
    <n v="5000"/>
    <s v="EUR"/>
    <s v="BCITITMM"/>
    <s v="IT"/>
    <s v="VERSAMENTO CAPITALE SOCIALE"/>
    <s v="VERSEMENT DE IT"/>
    <s v="in"/>
    <x v="6"/>
    <x v="2"/>
    <x v="5"/>
    <s v="Founder Contribution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9B13A-041F-4758-ABC0-2AFA01113C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H13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Col" showAll="0">
      <items count="7">
        <item x="1"/>
        <item x="5"/>
        <item x="0"/>
        <item x="4"/>
        <item x="2"/>
        <item x="3"/>
        <item t="default"/>
      </items>
    </pivotField>
    <pivotField showAll="0"/>
    <pivotField showAll="0"/>
    <pivotField showAll="0"/>
  </pivotFields>
  <rowFields count="2">
    <field x="18"/>
    <field x="17"/>
  </rowFields>
  <rowItems count="11">
    <i>
      <x/>
    </i>
    <i r="1">
      <x/>
    </i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 t="grand">
      <x/>
    </i>
  </rowItems>
  <colFields count="1">
    <field x="1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10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34</v>
      </c>
      <c r="B8" t="s">
        <v>34</v>
      </c>
      <c r="C8" t="s">
        <v>34</v>
      </c>
      <c r="D8" t="s">
        <v>35</v>
      </c>
    </row>
    <row r="9" spans="1:5" x14ac:dyDescent="0.25">
      <c r="D9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36</v>
      </c>
    </row>
    <row r="2" spans="1:2" x14ac:dyDescent="0.25">
      <c r="A2" t="s">
        <v>0</v>
      </c>
      <c r="B2" t="s">
        <v>37</v>
      </c>
    </row>
    <row r="3" spans="1:2" x14ac:dyDescent="0.25">
      <c r="A3" t="s">
        <v>1</v>
      </c>
      <c r="B3" t="s">
        <v>38</v>
      </c>
    </row>
    <row r="4" spans="1:2" x14ac:dyDescent="0.25">
      <c r="A4" t="s">
        <v>2</v>
      </c>
      <c r="B4" t="s">
        <v>39</v>
      </c>
    </row>
    <row r="5" spans="1:2" x14ac:dyDescent="0.25">
      <c r="A5" t="s">
        <v>3</v>
      </c>
      <c r="B5" t="s">
        <v>40</v>
      </c>
    </row>
    <row r="6" spans="1:2" x14ac:dyDescent="0.25">
      <c r="A6" t="s">
        <v>4</v>
      </c>
      <c r="B6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7"/>
  <sheetViews>
    <sheetView tabSelected="1" topLeftCell="A43" workbookViewId="0">
      <selection activeCell="R62" sqref="R62"/>
    </sheetView>
  </sheetViews>
  <sheetFormatPr defaultRowHeight="15" x14ac:dyDescent="0.25"/>
  <sheetData>
    <row r="1" spans="1:23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61</v>
      </c>
      <c r="W1" t="s">
        <v>62</v>
      </c>
    </row>
    <row r="2" spans="1:23" x14ac:dyDescent="0.25">
      <c r="A2" t="s">
        <v>63</v>
      </c>
      <c r="B2" t="s">
        <v>64</v>
      </c>
      <c r="E2" t="s">
        <v>65</v>
      </c>
      <c r="F2" t="s">
        <v>66</v>
      </c>
      <c r="I2" t="s">
        <v>67</v>
      </c>
      <c r="J2" t="s">
        <v>64</v>
      </c>
      <c r="K2">
        <v>-750</v>
      </c>
      <c r="L2" t="s">
        <v>68</v>
      </c>
      <c r="M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1</v>
      </c>
      <c r="U2" t="s">
        <v>11</v>
      </c>
    </row>
    <row r="3" spans="1:23" x14ac:dyDescent="0.25">
      <c r="A3" t="s">
        <v>63</v>
      </c>
      <c r="B3" t="s">
        <v>64</v>
      </c>
      <c r="F3" t="s">
        <v>75</v>
      </c>
      <c r="H3" t="s">
        <v>76</v>
      </c>
      <c r="I3" t="s">
        <v>77</v>
      </c>
      <c r="J3" t="s">
        <v>64</v>
      </c>
      <c r="K3">
        <v>-50</v>
      </c>
      <c r="L3" t="s">
        <v>68</v>
      </c>
      <c r="N3" t="s">
        <v>78</v>
      </c>
      <c r="O3" t="s">
        <v>77</v>
      </c>
      <c r="P3" t="s">
        <v>79</v>
      </c>
      <c r="Q3" t="s">
        <v>72</v>
      </c>
      <c r="R3" t="s">
        <v>73</v>
      </c>
      <c r="S3" t="s">
        <v>74</v>
      </c>
      <c r="T3" t="s">
        <v>1</v>
      </c>
      <c r="U3" t="s">
        <v>6</v>
      </c>
    </row>
    <row r="4" spans="1:23" x14ac:dyDescent="0.25">
      <c r="A4" t="s">
        <v>63</v>
      </c>
      <c r="B4" t="s">
        <v>64</v>
      </c>
      <c r="F4" t="s">
        <v>75</v>
      </c>
      <c r="H4" t="s">
        <v>76</v>
      </c>
      <c r="I4" t="s">
        <v>80</v>
      </c>
      <c r="J4" t="s">
        <v>64</v>
      </c>
      <c r="K4">
        <v>-50</v>
      </c>
      <c r="L4" t="s">
        <v>68</v>
      </c>
      <c r="N4" t="s">
        <v>78</v>
      </c>
      <c r="O4" t="s">
        <v>80</v>
      </c>
      <c r="P4" t="s">
        <v>79</v>
      </c>
      <c r="Q4" t="s">
        <v>72</v>
      </c>
      <c r="R4" t="s">
        <v>73</v>
      </c>
      <c r="S4" t="s">
        <v>74</v>
      </c>
      <c r="T4" t="s">
        <v>1</v>
      </c>
      <c r="U4" t="s">
        <v>6</v>
      </c>
    </row>
    <row r="5" spans="1:23" x14ac:dyDescent="0.25">
      <c r="A5" t="s">
        <v>63</v>
      </c>
      <c r="B5" t="s">
        <v>64</v>
      </c>
      <c r="F5" t="s">
        <v>81</v>
      </c>
      <c r="H5" t="s">
        <v>82</v>
      </c>
      <c r="I5" t="s">
        <v>83</v>
      </c>
      <c r="J5" t="s">
        <v>64</v>
      </c>
      <c r="K5">
        <v>-304.19</v>
      </c>
      <c r="L5" t="s">
        <v>68</v>
      </c>
      <c r="N5" t="s">
        <v>78</v>
      </c>
      <c r="O5" t="s">
        <v>83</v>
      </c>
      <c r="P5" t="s">
        <v>84</v>
      </c>
      <c r="Q5" t="s">
        <v>72</v>
      </c>
      <c r="R5" t="s">
        <v>73</v>
      </c>
      <c r="S5" t="s">
        <v>74</v>
      </c>
      <c r="T5" t="s">
        <v>1</v>
      </c>
      <c r="U5" t="s">
        <v>6</v>
      </c>
    </row>
    <row r="6" spans="1:23" x14ac:dyDescent="0.25">
      <c r="A6" t="s">
        <v>63</v>
      </c>
      <c r="B6" t="s">
        <v>64</v>
      </c>
      <c r="F6" t="s">
        <v>85</v>
      </c>
      <c r="H6" t="s">
        <v>86</v>
      </c>
      <c r="I6" t="s">
        <v>87</v>
      </c>
      <c r="J6" t="s">
        <v>64</v>
      </c>
      <c r="K6">
        <v>-50</v>
      </c>
      <c r="L6" t="s">
        <v>68</v>
      </c>
      <c r="N6" t="s">
        <v>78</v>
      </c>
      <c r="O6" t="s">
        <v>87</v>
      </c>
      <c r="P6" t="s">
        <v>84</v>
      </c>
      <c r="Q6" t="s">
        <v>72</v>
      </c>
      <c r="R6" t="s">
        <v>73</v>
      </c>
      <c r="S6" t="s">
        <v>74</v>
      </c>
      <c r="T6" t="s">
        <v>1</v>
      </c>
      <c r="U6" t="s">
        <v>6</v>
      </c>
    </row>
    <row r="7" spans="1:23" x14ac:dyDescent="0.25">
      <c r="A7" t="s">
        <v>63</v>
      </c>
      <c r="B7" t="s">
        <v>88</v>
      </c>
      <c r="F7" t="s">
        <v>75</v>
      </c>
      <c r="H7" t="s">
        <v>76</v>
      </c>
      <c r="I7" t="s">
        <v>89</v>
      </c>
      <c r="J7" t="s">
        <v>88</v>
      </c>
      <c r="K7">
        <v>-50</v>
      </c>
      <c r="L7" t="s">
        <v>68</v>
      </c>
      <c r="N7" t="s">
        <v>78</v>
      </c>
      <c r="O7" t="s">
        <v>89</v>
      </c>
      <c r="P7" t="s">
        <v>84</v>
      </c>
      <c r="Q7" t="s">
        <v>72</v>
      </c>
      <c r="R7" t="s">
        <v>90</v>
      </c>
      <c r="S7" t="s">
        <v>74</v>
      </c>
      <c r="T7" t="s">
        <v>1</v>
      </c>
      <c r="U7" t="s">
        <v>6</v>
      </c>
    </row>
    <row r="8" spans="1:23" x14ac:dyDescent="0.25">
      <c r="A8" t="s">
        <v>63</v>
      </c>
      <c r="B8" t="s">
        <v>91</v>
      </c>
      <c r="C8" t="s">
        <v>92</v>
      </c>
      <c r="D8" t="s">
        <v>93</v>
      </c>
      <c r="F8" t="s">
        <v>94</v>
      </c>
      <c r="H8" t="s">
        <v>95</v>
      </c>
      <c r="I8" t="s">
        <v>96</v>
      </c>
      <c r="J8" t="s">
        <v>91</v>
      </c>
      <c r="K8">
        <v>-16.63</v>
      </c>
      <c r="L8" t="s">
        <v>68</v>
      </c>
      <c r="N8" t="s">
        <v>97</v>
      </c>
      <c r="O8" t="s">
        <v>96</v>
      </c>
      <c r="P8" t="s">
        <v>84</v>
      </c>
      <c r="Q8" t="s">
        <v>72</v>
      </c>
      <c r="R8" t="s">
        <v>90</v>
      </c>
      <c r="S8" t="s">
        <v>74</v>
      </c>
      <c r="T8" t="s">
        <v>3</v>
      </c>
      <c r="U8" t="s">
        <v>35</v>
      </c>
    </row>
    <row r="9" spans="1:23" x14ac:dyDescent="0.25">
      <c r="A9" t="s">
        <v>63</v>
      </c>
      <c r="B9" t="s">
        <v>91</v>
      </c>
      <c r="C9" t="s">
        <v>92</v>
      </c>
      <c r="D9" t="s">
        <v>98</v>
      </c>
      <c r="F9" t="s">
        <v>99</v>
      </c>
      <c r="H9" t="s">
        <v>100</v>
      </c>
      <c r="I9" t="s">
        <v>101</v>
      </c>
      <c r="J9" t="s">
        <v>91</v>
      </c>
      <c r="K9">
        <v>-346</v>
      </c>
      <c r="L9" t="s">
        <v>68</v>
      </c>
      <c r="N9" t="s">
        <v>102</v>
      </c>
      <c r="O9" t="s">
        <v>101</v>
      </c>
      <c r="P9" t="s">
        <v>84</v>
      </c>
      <c r="Q9" t="s">
        <v>72</v>
      </c>
      <c r="R9" t="s">
        <v>90</v>
      </c>
      <c r="S9" t="s">
        <v>74</v>
      </c>
      <c r="T9" t="s">
        <v>1</v>
      </c>
      <c r="U9" t="s">
        <v>11</v>
      </c>
    </row>
    <row r="10" spans="1:23" x14ac:dyDescent="0.25">
      <c r="A10" t="s">
        <v>63</v>
      </c>
      <c r="B10" t="s">
        <v>91</v>
      </c>
      <c r="C10" t="s">
        <v>92</v>
      </c>
      <c r="D10" t="s">
        <v>103</v>
      </c>
      <c r="F10" t="s">
        <v>94</v>
      </c>
      <c r="H10" t="s">
        <v>95</v>
      </c>
      <c r="I10" t="s">
        <v>104</v>
      </c>
      <c r="J10" t="s">
        <v>91</v>
      </c>
      <c r="K10">
        <v>-79.61</v>
      </c>
      <c r="L10" t="s">
        <v>68</v>
      </c>
      <c r="N10" t="s">
        <v>97</v>
      </c>
      <c r="O10" t="s">
        <v>104</v>
      </c>
      <c r="P10" t="s">
        <v>84</v>
      </c>
      <c r="Q10" t="s">
        <v>72</v>
      </c>
      <c r="R10" t="s">
        <v>90</v>
      </c>
      <c r="S10" t="s">
        <v>74</v>
      </c>
      <c r="T10" t="s">
        <v>3</v>
      </c>
      <c r="U10" t="s">
        <v>35</v>
      </c>
    </row>
    <row r="11" spans="1:23" x14ac:dyDescent="0.25">
      <c r="A11" t="s">
        <v>63</v>
      </c>
      <c r="B11" t="s">
        <v>105</v>
      </c>
      <c r="C11" t="s">
        <v>92</v>
      </c>
      <c r="D11" t="s">
        <v>106</v>
      </c>
      <c r="F11" t="s">
        <v>107</v>
      </c>
      <c r="H11" t="s">
        <v>76</v>
      </c>
      <c r="I11" t="s">
        <v>108</v>
      </c>
      <c r="J11" t="s">
        <v>105</v>
      </c>
      <c r="K11">
        <v>-50</v>
      </c>
      <c r="L11" t="s">
        <v>68</v>
      </c>
      <c r="N11" t="s">
        <v>78</v>
      </c>
      <c r="O11" t="s">
        <v>108</v>
      </c>
      <c r="P11" t="s">
        <v>84</v>
      </c>
      <c r="Q11" t="s">
        <v>72</v>
      </c>
      <c r="R11" t="s">
        <v>90</v>
      </c>
      <c r="S11" t="s">
        <v>74</v>
      </c>
      <c r="T11" t="s">
        <v>1</v>
      </c>
      <c r="U11" t="s">
        <v>6</v>
      </c>
    </row>
    <row r="12" spans="1:23" x14ac:dyDescent="0.25">
      <c r="A12" t="s">
        <v>63</v>
      </c>
      <c r="B12" t="s">
        <v>109</v>
      </c>
      <c r="C12" t="s">
        <v>92</v>
      </c>
      <c r="D12" t="s">
        <v>110</v>
      </c>
      <c r="E12" t="s">
        <v>111</v>
      </c>
      <c r="F12" t="s">
        <v>112</v>
      </c>
      <c r="I12" t="s">
        <v>113</v>
      </c>
      <c r="J12" t="s">
        <v>109</v>
      </c>
      <c r="K12">
        <v>-600</v>
      </c>
      <c r="L12" t="s">
        <v>68</v>
      </c>
      <c r="M12" t="s">
        <v>114</v>
      </c>
      <c r="O12" t="s">
        <v>115</v>
      </c>
      <c r="P12" t="s">
        <v>116</v>
      </c>
      <c r="Q12" t="s">
        <v>72</v>
      </c>
      <c r="R12" t="s">
        <v>90</v>
      </c>
      <c r="S12" t="s">
        <v>74</v>
      </c>
      <c r="T12" t="s">
        <v>1</v>
      </c>
      <c r="U12" t="s">
        <v>11</v>
      </c>
    </row>
    <row r="13" spans="1:23" x14ac:dyDescent="0.25">
      <c r="A13" t="s">
        <v>63</v>
      </c>
      <c r="B13" t="s">
        <v>117</v>
      </c>
      <c r="C13" t="s">
        <v>118</v>
      </c>
      <c r="D13" t="s">
        <v>119</v>
      </c>
      <c r="F13" t="s">
        <v>120</v>
      </c>
      <c r="H13" t="s">
        <v>121</v>
      </c>
      <c r="I13" t="s">
        <v>122</v>
      </c>
      <c r="J13" t="s">
        <v>117</v>
      </c>
      <c r="K13">
        <v>-29.03</v>
      </c>
      <c r="L13" t="s">
        <v>68</v>
      </c>
      <c r="N13" t="s">
        <v>123</v>
      </c>
      <c r="O13" t="s">
        <v>122</v>
      </c>
      <c r="P13" t="s">
        <v>79</v>
      </c>
      <c r="Q13" t="s">
        <v>72</v>
      </c>
      <c r="R13" t="s">
        <v>90</v>
      </c>
      <c r="S13" t="s">
        <v>74</v>
      </c>
      <c r="T13" t="s">
        <v>1</v>
      </c>
      <c r="U13" t="s">
        <v>6</v>
      </c>
    </row>
    <row r="14" spans="1:23" x14ac:dyDescent="0.25">
      <c r="A14" t="s">
        <v>63</v>
      </c>
      <c r="B14" t="s">
        <v>117</v>
      </c>
      <c r="C14" t="s">
        <v>118</v>
      </c>
      <c r="D14" t="s">
        <v>124</v>
      </c>
      <c r="F14" t="s">
        <v>120</v>
      </c>
      <c r="H14" t="s">
        <v>121</v>
      </c>
      <c r="I14" t="s">
        <v>125</v>
      </c>
      <c r="J14" t="s">
        <v>117</v>
      </c>
      <c r="K14">
        <v>-29.03</v>
      </c>
      <c r="L14" t="s">
        <v>68</v>
      </c>
      <c r="N14" t="s">
        <v>123</v>
      </c>
      <c r="O14" t="s">
        <v>125</v>
      </c>
      <c r="P14" t="s">
        <v>79</v>
      </c>
      <c r="Q14" t="s">
        <v>72</v>
      </c>
      <c r="R14" t="s">
        <v>90</v>
      </c>
      <c r="S14" t="s">
        <v>74</v>
      </c>
      <c r="T14" t="s">
        <v>1</v>
      </c>
      <c r="U14" t="s">
        <v>6</v>
      </c>
    </row>
    <row r="15" spans="1:23" x14ac:dyDescent="0.25">
      <c r="A15" t="s">
        <v>63</v>
      </c>
      <c r="B15" t="s">
        <v>117</v>
      </c>
      <c r="C15" t="s">
        <v>118</v>
      </c>
      <c r="D15" t="s">
        <v>126</v>
      </c>
      <c r="F15" t="s">
        <v>81</v>
      </c>
      <c r="H15" t="s">
        <v>82</v>
      </c>
      <c r="I15" t="s">
        <v>127</v>
      </c>
      <c r="J15" t="s">
        <v>117</v>
      </c>
      <c r="K15">
        <v>-200</v>
      </c>
      <c r="L15" t="s">
        <v>68</v>
      </c>
      <c r="N15" t="s">
        <v>78</v>
      </c>
      <c r="O15" t="s">
        <v>127</v>
      </c>
      <c r="P15" t="s">
        <v>84</v>
      </c>
      <c r="Q15" t="s">
        <v>72</v>
      </c>
      <c r="R15" t="s">
        <v>90</v>
      </c>
      <c r="S15" t="s">
        <v>74</v>
      </c>
      <c r="T15" t="s">
        <v>1</v>
      </c>
      <c r="U15" t="s">
        <v>6</v>
      </c>
    </row>
    <row r="16" spans="1:23" x14ac:dyDescent="0.25">
      <c r="A16" t="s">
        <v>63</v>
      </c>
      <c r="B16" t="s">
        <v>128</v>
      </c>
      <c r="C16" t="s">
        <v>129</v>
      </c>
      <c r="D16" t="s">
        <v>130</v>
      </c>
      <c r="F16" t="s">
        <v>131</v>
      </c>
      <c r="H16" t="s">
        <v>132</v>
      </c>
      <c r="I16" t="s">
        <v>133</v>
      </c>
      <c r="J16" t="s">
        <v>128</v>
      </c>
      <c r="K16">
        <v>-8.85</v>
      </c>
      <c r="L16" t="s">
        <v>68</v>
      </c>
      <c r="N16" t="s">
        <v>134</v>
      </c>
      <c r="O16" t="s">
        <v>133</v>
      </c>
      <c r="P16" t="s">
        <v>84</v>
      </c>
      <c r="Q16" t="s">
        <v>72</v>
      </c>
      <c r="R16" t="s">
        <v>90</v>
      </c>
      <c r="S16" t="s">
        <v>74</v>
      </c>
      <c r="T16" t="s">
        <v>2</v>
      </c>
      <c r="U16" t="s">
        <v>17</v>
      </c>
    </row>
    <row r="17" spans="1:21" x14ac:dyDescent="0.25">
      <c r="A17" t="s">
        <v>63</v>
      </c>
      <c r="B17" t="s">
        <v>135</v>
      </c>
      <c r="C17" t="s">
        <v>129</v>
      </c>
      <c r="D17" t="s">
        <v>136</v>
      </c>
      <c r="F17" t="s">
        <v>137</v>
      </c>
      <c r="H17" t="s">
        <v>138</v>
      </c>
      <c r="I17" t="s">
        <v>139</v>
      </c>
      <c r="J17" t="s">
        <v>135</v>
      </c>
      <c r="K17">
        <v>-22.91</v>
      </c>
      <c r="L17" t="s">
        <v>68</v>
      </c>
      <c r="N17" t="s">
        <v>140</v>
      </c>
      <c r="O17" t="s">
        <v>139</v>
      </c>
      <c r="P17" t="s">
        <v>79</v>
      </c>
      <c r="Q17" t="s">
        <v>72</v>
      </c>
      <c r="R17" t="s">
        <v>90</v>
      </c>
      <c r="S17" t="s">
        <v>74</v>
      </c>
      <c r="T17" t="s">
        <v>2</v>
      </c>
      <c r="U17" t="s">
        <v>12</v>
      </c>
    </row>
    <row r="18" spans="1:21" x14ac:dyDescent="0.25">
      <c r="A18" t="s">
        <v>63</v>
      </c>
      <c r="B18" t="s">
        <v>135</v>
      </c>
      <c r="C18" t="s">
        <v>129</v>
      </c>
      <c r="D18" t="s">
        <v>141</v>
      </c>
      <c r="F18" t="s">
        <v>120</v>
      </c>
      <c r="H18" t="s">
        <v>121</v>
      </c>
      <c r="I18" t="s">
        <v>142</v>
      </c>
      <c r="J18" t="s">
        <v>135</v>
      </c>
      <c r="K18">
        <v>-29.03</v>
      </c>
      <c r="L18" t="s">
        <v>68</v>
      </c>
      <c r="N18" t="s">
        <v>123</v>
      </c>
      <c r="O18" t="s">
        <v>142</v>
      </c>
      <c r="P18" t="s">
        <v>84</v>
      </c>
      <c r="Q18" t="s">
        <v>72</v>
      </c>
      <c r="R18" t="s">
        <v>90</v>
      </c>
      <c r="S18" t="s">
        <v>74</v>
      </c>
      <c r="T18" t="s">
        <v>1</v>
      </c>
      <c r="U18" t="s">
        <v>6</v>
      </c>
    </row>
    <row r="19" spans="1:21" x14ac:dyDescent="0.25">
      <c r="A19" t="s">
        <v>63</v>
      </c>
      <c r="B19" t="s">
        <v>143</v>
      </c>
      <c r="C19" t="s">
        <v>129</v>
      </c>
      <c r="D19" t="s">
        <v>144</v>
      </c>
      <c r="F19" t="s">
        <v>81</v>
      </c>
      <c r="H19" t="s">
        <v>82</v>
      </c>
      <c r="I19" t="s">
        <v>145</v>
      </c>
      <c r="J19" t="s">
        <v>143</v>
      </c>
      <c r="K19">
        <v>-83.59</v>
      </c>
      <c r="L19" t="s">
        <v>68</v>
      </c>
      <c r="N19" t="s">
        <v>78</v>
      </c>
      <c r="O19" t="s">
        <v>145</v>
      </c>
      <c r="P19" t="s">
        <v>84</v>
      </c>
      <c r="Q19" t="s">
        <v>72</v>
      </c>
      <c r="R19" t="s">
        <v>90</v>
      </c>
      <c r="S19" t="s">
        <v>74</v>
      </c>
      <c r="T19" t="s">
        <v>1</v>
      </c>
      <c r="U19" t="s">
        <v>6</v>
      </c>
    </row>
    <row r="20" spans="1:21" x14ac:dyDescent="0.25">
      <c r="A20" t="s">
        <v>63</v>
      </c>
      <c r="B20" t="s">
        <v>143</v>
      </c>
      <c r="C20" t="s">
        <v>129</v>
      </c>
      <c r="D20" t="s">
        <v>146</v>
      </c>
      <c r="E20" t="s">
        <v>147</v>
      </c>
      <c r="F20" t="s">
        <v>148</v>
      </c>
      <c r="I20" t="s">
        <v>149</v>
      </c>
      <c r="J20" t="s">
        <v>143</v>
      </c>
      <c r="K20">
        <v>-907.5</v>
      </c>
      <c r="L20" t="s">
        <v>68</v>
      </c>
      <c r="M20" t="s">
        <v>150</v>
      </c>
      <c r="O20" t="s">
        <v>151</v>
      </c>
      <c r="P20" t="s">
        <v>152</v>
      </c>
      <c r="Q20" t="s">
        <v>72</v>
      </c>
      <c r="R20" t="s">
        <v>90</v>
      </c>
      <c r="S20" t="s">
        <v>74</v>
      </c>
      <c r="T20" t="s">
        <v>3</v>
      </c>
      <c r="U20" t="s">
        <v>8</v>
      </c>
    </row>
    <row r="21" spans="1:21" x14ac:dyDescent="0.25">
      <c r="A21" t="s">
        <v>63</v>
      </c>
      <c r="B21" t="s">
        <v>153</v>
      </c>
      <c r="C21" t="s">
        <v>154</v>
      </c>
      <c r="D21" t="s">
        <v>155</v>
      </c>
      <c r="F21" t="s">
        <v>81</v>
      </c>
      <c r="H21" t="s">
        <v>82</v>
      </c>
      <c r="I21" t="s">
        <v>156</v>
      </c>
      <c r="J21" t="s">
        <v>153</v>
      </c>
      <c r="K21">
        <v>-100</v>
      </c>
      <c r="L21" t="s">
        <v>68</v>
      </c>
      <c r="N21" t="s">
        <v>78</v>
      </c>
      <c r="O21" t="s">
        <v>156</v>
      </c>
      <c r="P21" t="s">
        <v>84</v>
      </c>
      <c r="Q21" t="s">
        <v>72</v>
      </c>
      <c r="R21" t="s">
        <v>157</v>
      </c>
      <c r="S21" t="s">
        <v>74</v>
      </c>
      <c r="T21" t="s">
        <v>1</v>
      </c>
      <c r="U21" t="s">
        <v>6</v>
      </c>
    </row>
    <row r="22" spans="1:21" x14ac:dyDescent="0.25">
      <c r="A22" t="s">
        <v>63</v>
      </c>
      <c r="B22" t="s">
        <v>158</v>
      </c>
      <c r="C22" t="s">
        <v>154</v>
      </c>
      <c r="D22" t="s">
        <v>159</v>
      </c>
      <c r="F22" t="s">
        <v>107</v>
      </c>
      <c r="H22" t="s">
        <v>76</v>
      </c>
      <c r="I22" t="s">
        <v>160</v>
      </c>
      <c r="J22" t="s">
        <v>158</v>
      </c>
      <c r="K22">
        <v>-50</v>
      </c>
      <c r="L22" t="s">
        <v>68</v>
      </c>
      <c r="N22" t="s">
        <v>78</v>
      </c>
      <c r="O22" t="s">
        <v>160</v>
      </c>
      <c r="P22" t="s">
        <v>84</v>
      </c>
      <c r="Q22" t="s">
        <v>72</v>
      </c>
      <c r="R22" t="s">
        <v>157</v>
      </c>
      <c r="S22" t="s">
        <v>74</v>
      </c>
      <c r="T22" t="s">
        <v>1</v>
      </c>
      <c r="U22" t="s">
        <v>6</v>
      </c>
    </row>
    <row r="23" spans="1:21" x14ac:dyDescent="0.25">
      <c r="A23" t="s">
        <v>63</v>
      </c>
      <c r="B23" t="s">
        <v>158</v>
      </c>
      <c r="C23" t="s">
        <v>154</v>
      </c>
      <c r="D23" t="s">
        <v>161</v>
      </c>
      <c r="F23" t="s">
        <v>81</v>
      </c>
      <c r="H23" t="s">
        <v>82</v>
      </c>
      <c r="I23" t="s">
        <v>162</v>
      </c>
      <c r="J23" t="s">
        <v>158</v>
      </c>
      <c r="K23">
        <v>-50</v>
      </c>
      <c r="L23" t="s">
        <v>68</v>
      </c>
      <c r="N23" t="s">
        <v>78</v>
      </c>
      <c r="O23" t="s">
        <v>162</v>
      </c>
      <c r="P23" t="s">
        <v>84</v>
      </c>
      <c r="Q23" t="s">
        <v>72</v>
      </c>
      <c r="R23" t="s">
        <v>157</v>
      </c>
      <c r="S23" t="s">
        <v>74</v>
      </c>
      <c r="T23" t="s">
        <v>1</v>
      </c>
      <c r="U23" t="s">
        <v>6</v>
      </c>
    </row>
    <row r="24" spans="1:21" x14ac:dyDescent="0.25">
      <c r="A24" t="s">
        <v>63</v>
      </c>
      <c r="B24" t="s">
        <v>163</v>
      </c>
      <c r="C24" t="s">
        <v>154</v>
      </c>
      <c r="D24" t="s">
        <v>92</v>
      </c>
      <c r="F24" t="s">
        <v>164</v>
      </c>
      <c r="H24" t="s">
        <v>165</v>
      </c>
      <c r="I24" t="s">
        <v>166</v>
      </c>
      <c r="J24" t="s">
        <v>163</v>
      </c>
      <c r="K24">
        <v>-44.93</v>
      </c>
      <c r="L24" t="s">
        <v>68</v>
      </c>
      <c r="N24" t="s">
        <v>123</v>
      </c>
      <c r="O24" t="s">
        <v>166</v>
      </c>
      <c r="P24" t="s">
        <v>84</v>
      </c>
      <c r="Q24" t="s">
        <v>72</v>
      </c>
      <c r="R24" t="s">
        <v>157</v>
      </c>
      <c r="S24" t="s">
        <v>74</v>
      </c>
      <c r="T24" t="s">
        <v>3</v>
      </c>
      <c r="U24" t="s">
        <v>35</v>
      </c>
    </row>
    <row r="25" spans="1:21" x14ac:dyDescent="0.25">
      <c r="A25" t="s">
        <v>63</v>
      </c>
      <c r="B25" t="s">
        <v>167</v>
      </c>
      <c r="C25" t="s">
        <v>168</v>
      </c>
      <c r="D25" t="s">
        <v>118</v>
      </c>
      <c r="I25" t="s">
        <v>169</v>
      </c>
      <c r="J25" t="s">
        <v>170</v>
      </c>
      <c r="K25">
        <v>-5.98</v>
      </c>
      <c r="L25" t="s">
        <v>68</v>
      </c>
      <c r="O25" t="s">
        <v>169</v>
      </c>
      <c r="P25" t="s">
        <v>171</v>
      </c>
      <c r="Q25" t="s">
        <v>72</v>
      </c>
      <c r="R25" t="s">
        <v>157</v>
      </c>
      <c r="S25" t="s">
        <v>74</v>
      </c>
      <c r="T25" t="s">
        <v>3</v>
      </c>
      <c r="U25" t="s">
        <v>18</v>
      </c>
    </row>
    <row r="26" spans="1:21" x14ac:dyDescent="0.25">
      <c r="A26" t="s">
        <v>63</v>
      </c>
      <c r="B26" t="s">
        <v>172</v>
      </c>
      <c r="C26" t="s">
        <v>168</v>
      </c>
      <c r="D26" t="s">
        <v>129</v>
      </c>
      <c r="F26" t="s">
        <v>173</v>
      </c>
      <c r="H26" t="s">
        <v>174</v>
      </c>
      <c r="I26" t="s">
        <v>175</v>
      </c>
      <c r="J26" t="s">
        <v>172</v>
      </c>
      <c r="K26">
        <v>-83.01</v>
      </c>
      <c r="L26" t="s">
        <v>68</v>
      </c>
      <c r="N26" t="s">
        <v>140</v>
      </c>
      <c r="O26" t="s">
        <v>175</v>
      </c>
      <c r="P26" t="s">
        <v>84</v>
      </c>
      <c r="Q26" t="s">
        <v>72</v>
      </c>
      <c r="R26" t="s">
        <v>157</v>
      </c>
      <c r="S26" t="s">
        <v>74</v>
      </c>
      <c r="T26" t="s">
        <v>2</v>
      </c>
      <c r="U26" t="s">
        <v>17</v>
      </c>
    </row>
    <row r="27" spans="1:21" x14ac:dyDescent="0.25">
      <c r="A27" t="s">
        <v>63</v>
      </c>
      <c r="B27" t="s">
        <v>176</v>
      </c>
      <c r="C27" t="s">
        <v>168</v>
      </c>
      <c r="D27" t="s">
        <v>154</v>
      </c>
      <c r="F27" t="s">
        <v>137</v>
      </c>
      <c r="H27" t="s">
        <v>138</v>
      </c>
      <c r="I27" t="s">
        <v>177</v>
      </c>
      <c r="J27" t="s">
        <v>176</v>
      </c>
      <c r="K27">
        <v>-23.03</v>
      </c>
      <c r="L27" t="s">
        <v>68</v>
      </c>
      <c r="N27" t="s">
        <v>140</v>
      </c>
      <c r="O27" t="s">
        <v>177</v>
      </c>
      <c r="P27" t="s">
        <v>79</v>
      </c>
      <c r="Q27" t="s">
        <v>72</v>
      </c>
      <c r="R27" t="s">
        <v>157</v>
      </c>
      <c r="S27" t="s">
        <v>74</v>
      </c>
      <c r="T27" t="s">
        <v>2</v>
      </c>
      <c r="U27" t="s">
        <v>12</v>
      </c>
    </row>
    <row r="28" spans="1:21" x14ac:dyDescent="0.25">
      <c r="A28" t="s">
        <v>63</v>
      </c>
      <c r="B28" t="s">
        <v>178</v>
      </c>
      <c r="C28" t="s">
        <v>168</v>
      </c>
      <c r="D28" t="s">
        <v>168</v>
      </c>
      <c r="F28" t="s">
        <v>81</v>
      </c>
      <c r="H28" t="s">
        <v>82</v>
      </c>
      <c r="I28" t="s">
        <v>179</v>
      </c>
      <c r="J28" t="s">
        <v>178</v>
      </c>
      <c r="K28">
        <v>-38.590000000000003</v>
      </c>
      <c r="L28" t="s">
        <v>68</v>
      </c>
      <c r="N28" t="s">
        <v>78</v>
      </c>
      <c r="O28" t="s">
        <v>179</v>
      </c>
      <c r="P28" t="s">
        <v>84</v>
      </c>
      <c r="Q28" t="s">
        <v>72</v>
      </c>
      <c r="R28" t="s">
        <v>157</v>
      </c>
      <c r="S28" t="s">
        <v>74</v>
      </c>
      <c r="T28" t="s">
        <v>1</v>
      </c>
      <c r="U28" t="s">
        <v>6</v>
      </c>
    </row>
    <row r="29" spans="1:21" x14ac:dyDescent="0.25">
      <c r="A29" t="s">
        <v>63</v>
      </c>
      <c r="B29" t="s">
        <v>180</v>
      </c>
      <c r="C29" t="s">
        <v>159</v>
      </c>
      <c r="D29" t="s">
        <v>181</v>
      </c>
      <c r="F29" t="s">
        <v>182</v>
      </c>
      <c r="H29" t="s">
        <v>183</v>
      </c>
      <c r="I29" t="s">
        <v>184</v>
      </c>
      <c r="J29" t="s">
        <v>180</v>
      </c>
      <c r="K29">
        <v>-3017.42</v>
      </c>
      <c r="L29" t="s">
        <v>68</v>
      </c>
      <c r="N29" t="s">
        <v>185</v>
      </c>
      <c r="O29" t="s">
        <v>184</v>
      </c>
      <c r="P29" t="s">
        <v>79</v>
      </c>
      <c r="Q29" t="s">
        <v>72</v>
      </c>
      <c r="R29" t="s">
        <v>186</v>
      </c>
      <c r="S29" t="s">
        <v>187</v>
      </c>
      <c r="T29" t="s">
        <v>2</v>
      </c>
      <c r="U29" t="s">
        <v>7</v>
      </c>
    </row>
    <row r="30" spans="1:21" x14ac:dyDescent="0.25">
      <c r="A30" t="s">
        <v>63</v>
      </c>
      <c r="B30" t="s">
        <v>188</v>
      </c>
      <c r="C30" t="s">
        <v>161</v>
      </c>
      <c r="D30" t="s">
        <v>189</v>
      </c>
      <c r="F30" t="s">
        <v>190</v>
      </c>
      <c r="H30" t="s">
        <v>191</v>
      </c>
      <c r="I30" t="s">
        <v>192</v>
      </c>
      <c r="J30" t="s">
        <v>188</v>
      </c>
      <c r="K30">
        <v>-49.64</v>
      </c>
      <c r="L30" t="s">
        <v>68</v>
      </c>
      <c r="N30" t="s">
        <v>78</v>
      </c>
      <c r="O30" t="s">
        <v>192</v>
      </c>
      <c r="P30" t="s">
        <v>84</v>
      </c>
      <c r="Q30" t="s">
        <v>72</v>
      </c>
      <c r="R30" t="s">
        <v>186</v>
      </c>
      <c r="S30" t="s">
        <v>187</v>
      </c>
      <c r="T30" t="s">
        <v>1</v>
      </c>
      <c r="U30" t="s">
        <v>6</v>
      </c>
    </row>
    <row r="31" spans="1:21" x14ac:dyDescent="0.25">
      <c r="A31" t="s">
        <v>63</v>
      </c>
      <c r="B31" t="s">
        <v>193</v>
      </c>
      <c r="C31" t="s">
        <v>161</v>
      </c>
      <c r="D31" t="s">
        <v>194</v>
      </c>
      <c r="F31" t="s">
        <v>81</v>
      </c>
      <c r="H31" t="s">
        <v>82</v>
      </c>
      <c r="I31" t="s">
        <v>195</v>
      </c>
      <c r="J31" t="s">
        <v>193</v>
      </c>
      <c r="K31">
        <v>-10</v>
      </c>
      <c r="L31" t="s">
        <v>68</v>
      </c>
      <c r="N31" t="s">
        <v>78</v>
      </c>
      <c r="O31" t="s">
        <v>195</v>
      </c>
      <c r="P31" t="s">
        <v>84</v>
      </c>
      <c r="Q31" t="s">
        <v>72</v>
      </c>
      <c r="R31" t="s">
        <v>186</v>
      </c>
      <c r="S31" t="s">
        <v>187</v>
      </c>
      <c r="T31" t="s">
        <v>1</v>
      </c>
      <c r="U31" t="s">
        <v>6</v>
      </c>
    </row>
    <row r="32" spans="1:21" x14ac:dyDescent="0.25">
      <c r="A32" t="s">
        <v>63</v>
      </c>
      <c r="B32" t="s">
        <v>193</v>
      </c>
      <c r="C32" t="s">
        <v>161</v>
      </c>
      <c r="D32" t="s">
        <v>196</v>
      </c>
      <c r="E32" t="s">
        <v>197</v>
      </c>
      <c r="F32" t="s">
        <v>198</v>
      </c>
      <c r="I32" t="s">
        <v>199</v>
      </c>
      <c r="J32" t="s">
        <v>193</v>
      </c>
      <c r="K32">
        <v>-121</v>
      </c>
      <c r="L32" t="s">
        <v>68</v>
      </c>
      <c r="M32" t="s">
        <v>200</v>
      </c>
      <c r="O32" t="s">
        <v>201</v>
      </c>
      <c r="P32" t="s">
        <v>152</v>
      </c>
      <c r="Q32" t="s">
        <v>72</v>
      </c>
      <c r="R32" t="s">
        <v>186</v>
      </c>
      <c r="S32" t="s">
        <v>187</v>
      </c>
      <c r="T32" t="s">
        <v>1</v>
      </c>
      <c r="U32" t="s">
        <v>11</v>
      </c>
    </row>
    <row r="33" spans="1:21" x14ac:dyDescent="0.25">
      <c r="A33" t="s">
        <v>63</v>
      </c>
      <c r="B33" t="s">
        <v>193</v>
      </c>
      <c r="C33" t="s">
        <v>161</v>
      </c>
      <c r="D33" t="s">
        <v>202</v>
      </c>
      <c r="E33" t="s">
        <v>203</v>
      </c>
      <c r="F33" t="s">
        <v>204</v>
      </c>
      <c r="I33" t="s">
        <v>205</v>
      </c>
      <c r="J33" t="s">
        <v>193</v>
      </c>
      <c r="K33">
        <v>-20</v>
      </c>
      <c r="L33" t="s">
        <v>68</v>
      </c>
      <c r="M33" t="s">
        <v>206</v>
      </c>
      <c r="O33" t="s">
        <v>207</v>
      </c>
      <c r="P33" t="s">
        <v>71</v>
      </c>
      <c r="Q33" t="s">
        <v>72</v>
      </c>
      <c r="R33" t="s">
        <v>186</v>
      </c>
      <c r="S33" t="s">
        <v>187</v>
      </c>
      <c r="T33" t="s">
        <v>3</v>
      </c>
      <c r="U33" t="s">
        <v>23</v>
      </c>
    </row>
    <row r="34" spans="1:21" x14ac:dyDescent="0.25">
      <c r="A34" t="s">
        <v>63</v>
      </c>
      <c r="B34" t="s">
        <v>208</v>
      </c>
      <c r="C34" t="s">
        <v>161</v>
      </c>
      <c r="D34" t="s">
        <v>209</v>
      </c>
      <c r="E34" t="s">
        <v>210</v>
      </c>
      <c r="F34" t="s">
        <v>211</v>
      </c>
      <c r="I34" t="s">
        <v>212</v>
      </c>
      <c r="J34" t="s">
        <v>208</v>
      </c>
      <c r="K34">
        <v>-400</v>
      </c>
      <c r="L34" t="s">
        <v>68</v>
      </c>
      <c r="M34" t="s">
        <v>213</v>
      </c>
      <c r="O34" t="s">
        <v>214</v>
      </c>
      <c r="P34" t="s">
        <v>71</v>
      </c>
      <c r="Q34" t="s">
        <v>72</v>
      </c>
      <c r="R34" t="s">
        <v>186</v>
      </c>
      <c r="S34" t="s">
        <v>187</v>
      </c>
      <c r="T34" t="s">
        <v>1</v>
      </c>
      <c r="U34" t="s">
        <v>11</v>
      </c>
    </row>
    <row r="35" spans="1:21" x14ac:dyDescent="0.25">
      <c r="A35" t="s">
        <v>63</v>
      </c>
      <c r="B35" t="s">
        <v>208</v>
      </c>
      <c r="C35" t="s">
        <v>161</v>
      </c>
      <c r="D35" t="s">
        <v>215</v>
      </c>
      <c r="F35" t="s">
        <v>137</v>
      </c>
      <c r="H35" t="s">
        <v>138</v>
      </c>
      <c r="I35" t="s">
        <v>216</v>
      </c>
      <c r="J35" t="s">
        <v>208</v>
      </c>
      <c r="K35">
        <v>-23.26</v>
      </c>
      <c r="L35" t="s">
        <v>68</v>
      </c>
      <c r="N35" t="s">
        <v>140</v>
      </c>
      <c r="O35" t="s">
        <v>216</v>
      </c>
      <c r="P35" t="s">
        <v>79</v>
      </c>
      <c r="Q35" t="s">
        <v>72</v>
      </c>
      <c r="R35" t="s">
        <v>186</v>
      </c>
      <c r="S35" t="s">
        <v>187</v>
      </c>
      <c r="T35" t="s">
        <v>2</v>
      </c>
      <c r="U35" t="s">
        <v>12</v>
      </c>
    </row>
    <row r="36" spans="1:21" x14ac:dyDescent="0.25">
      <c r="A36" t="s">
        <v>63</v>
      </c>
      <c r="B36" t="s">
        <v>208</v>
      </c>
      <c r="C36" t="s">
        <v>161</v>
      </c>
      <c r="D36" t="s">
        <v>217</v>
      </c>
      <c r="I36" t="s">
        <v>218</v>
      </c>
      <c r="J36" t="s">
        <v>219</v>
      </c>
      <c r="K36">
        <v>-2.99</v>
      </c>
      <c r="L36" t="s">
        <v>68</v>
      </c>
      <c r="O36" t="s">
        <v>218</v>
      </c>
      <c r="P36" t="s">
        <v>171</v>
      </c>
      <c r="Q36" t="s">
        <v>72</v>
      </c>
      <c r="R36" t="s">
        <v>186</v>
      </c>
      <c r="S36" t="s">
        <v>187</v>
      </c>
      <c r="T36" t="s">
        <v>3</v>
      </c>
      <c r="U36" t="s">
        <v>18</v>
      </c>
    </row>
    <row r="37" spans="1:21" x14ac:dyDescent="0.25">
      <c r="A37" t="s">
        <v>63</v>
      </c>
      <c r="B37" t="s">
        <v>220</v>
      </c>
      <c r="C37" t="s">
        <v>161</v>
      </c>
      <c r="D37" t="s">
        <v>93</v>
      </c>
      <c r="F37" t="s">
        <v>221</v>
      </c>
      <c r="H37" t="s">
        <v>222</v>
      </c>
      <c r="I37" t="s">
        <v>223</v>
      </c>
      <c r="J37" t="s">
        <v>220</v>
      </c>
      <c r="K37">
        <v>-86.59</v>
      </c>
      <c r="L37" t="s">
        <v>68</v>
      </c>
      <c r="N37" t="s">
        <v>224</v>
      </c>
      <c r="O37" t="s">
        <v>223</v>
      </c>
      <c r="P37" t="s">
        <v>225</v>
      </c>
      <c r="Q37" t="s">
        <v>72</v>
      </c>
      <c r="R37" t="s">
        <v>186</v>
      </c>
      <c r="S37" t="s">
        <v>187</v>
      </c>
      <c r="T37" t="s">
        <v>3</v>
      </c>
      <c r="U37" t="s">
        <v>35</v>
      </c>
    </row>
    <row r="38" spans="1:21" x14ac:dyDescent="0.25">
      <c r="A38" t="s">
        <v>63</v>
      </c>
      <c r="B38" t="s">
        <v>220</v>
      </c>
      <c r="C38" t="s">
        <v>161</v>
      </c>
      <c r="D38" t="s">
        <v>98</v>
      </c>
      <c r="F38" t="s">
        <v>221</v>
      </c>
      <c r="H38" t="s">
        <v>222</v>
      </c>
      <c r="I38" t="s">
        <v>226</v>
      </c>
      <c r="J38" t="s">
        <v>220</v>
      </c>
      <c r="K38">
        <v>-43.8</v>
      </c>
      <c r="L38" t="s">
        <v>68</v>
      </c>
      <c r="N38" t="s">
        <v>224</v>
      </c>
      <c r="O38" t="s">
        <v>226</v>
      </c>
      <c r="P38" t="s">
        <v>225</v>
      </c>
      <c r="Q38" t="s">
        <v>72</v>
      </c>
      <c r="R38" t="s">
        <v>186</v>
      </c>
      <c r="S38" t="s">
        <v>187</v>
      </c>
      <c r="T38" t="s">
        <v>3</v>
      </c>
      <c r="U38" t="s">
        <v>35</v>
      </c>
    </row>
    <row r="39" spans="1:21" x14ac:dyDescent="0.25">
      <c r="A39" t="s">
        <v>63</v>
      </c>
      <c r="B39" t="s">
        <v>227</v>
      </c>
      <c r="C39" t="s">
        <v>92</v>
      </c>
      <c r="D39" t="s">
        <v>103</v>
      </c>
      <c r="F39" t="s">
        <v>182</v>
      </c>
      <c r="H39" t="s">
        <v>183</v>
      </c>
      <c r="I39" t="s">
        <v>228</v>
      </c>
      <c r="J39" t="s">
        <v>227</v>
      </c>
      <c r="K39">
        <v>-326.20999999999998</v>
      </c>
      <c r="L39" t="s">
        <v>68</v>
      </c>
      <c r="N39" t="s">
        <v>185</v>
      </c>
      <c r="O39" t="s">
        <v>228</v>
      </c>
      <c r="P39" t="s">
        <v>79</v>
      </c>
      <c r="Q39" t="s">
        <v>72</v>
      </c>
      <c r="R39" t="s">
        <v>229</v>
      </c>
      <c r="S39" t="s">
        <v>187</v>
      </c>
      <c r="T39" t="s">
        <v>2</v>
      </c>
      <c r="U39" t="s">
        <v>7</v>
      </c>
    </row>
    <row r="40" spans="1:21" x14ac:dyDescent="0.25">
      <c r="A40" t="s">
        <v>63</v>
      </c>
      <c r="B40" t="s">
        <v>230</v>
      </c>
      <c r="C40" t="s">
        <v>92</v>
      </c>
      <c r="D40" t="s">
        <v>106</v>
      </c>
      <c r="F40" t="s">
        <v>190</v>
      </c>
      <c r="H40" t="s">
        <v>191</v>
      </c>
      <c r="I40" t="s">
        <v>231</v>
      </c>
      <c r="J40" t="s">
        <v>230</v>
      </c>
      <c r="K40">
        <v>-10</v>
      </c>
      <c r="L40" t="s">
        <v>68</v>
      </c>
      <c r="N40" t="s">
        <v>78</v>
      </c>
      <c r="O40" t="s">
        <v>231</v>
      </c>
      <c r="P40" t="s">
        <v>84</v>
      </c>
      <c r="Q40" t="s">
        <v>72</v>
      </c>
      <c r="R40" t="s">
        <v>229</v>
      </c>
      <c r="S40" t="s">
        <v>187</v>
      </c>
      <c r="T40" t="s">
        <v>1</v>
      </c>
      <c r="U40" t="s">
        <v>6</v>
      </c>
    </row>
    <row r="41" spans="1:21" x14ac:dyDescent="0.25">
      <c r="A41" t="s">
        <v>63</v>
      </c>
      <c r="B41" t="s">
        <v>232</v>
      </c>
      <c r="C41" t="s">
        <v>118</v>
      </c>
      <c r="D41" t="s">
        <v>110</v>
      </c>
      <c r="I41" t="s">
        <v>233</v>
      </c>
      <c r="J41" t="s">
        <v>234</v>
      </c>
      <c r="K41">
        <v>-1.25</v>
      </c>
      <c r="L41" t="s">
        <v>68</v>
      </c>
      <c r="O41" t="s">
        <v>233</v>
      </c>
      <c r="P41" t="s">
        <v>235</v>
      </c>
      <c r="Q41" t="s">
        <v>72</v>
      </c>
      <c r="R41" t="s">
        <v>229</v>
      </c>
      <c r="S41" t="s">
        <v>187</v>
      </c>
      <c r="T41" t="s">
        <v>3</v>
      </c>
      <c r="U41" t="s">
        <v>18</v>
      </c>
    </row>
    <row r="42" spans="1:21" x14ac:dyDescent="0.25">
      <c r="A42" t="s">
        <v>63</v>
      </c>
      <c r="B42" t="s">
        <v>232</v>
      </c>
      <c r="C42" t="s">
        <v>118</v>
      </c>
      <c r="D42" t="s">
        <v>119</v>
      </c>
      <c r="I42" t="s">
        <v>236</v>
      </c>
      <c r="J42" t="s">
        <v>234</v>
      </c>
      <c r="K42">
        <v>-5.98</v>
      </c>
      <c r="L42" t="s">
        <v>68</v>
      </c>
      <c r="O42" t="s">
        <v>236</v>
      </c>
      <c r="P42" t="s">
        <v>171</v>
      </c>
      <c r="Q42" t="s">
        <v>72</v>
      </c>
      <c r="R42" t="s">
        <v>229</v>
      </c>
      <c r="S42" t="s">
        <v>187</v>
      </c>
      <c r="T42" t="s">
        <v>3</v>
      </c>
      <c r="U42" t="s">
        <v>18</v>
      </c>
    </row>
    <row r="43" spans="1:21" x14ac:dyDescent="0.25">
      <c r="A43" t="s">
        <v>63</v>
      </c>
      <c r="B43" t="s">
        <v>237</v>
      </c>
      <c r="C43" t="s">
        <v>118</v>
      </c>
      <c r="D43" t="s">
        <v>124</v>
      </c>
      <c r="F43" t="s">
        <v>137</v>
      </c>
      <c r="H43" t="s">
        <v>138</v>
      </c>
      <c r="I43" t="s">
        <v>238</v>
      </c>
      <c r="J43" t="s">
        <v>237</v>
      </c>
      <c r="K43">
        <v>-23.42</v>
      </c>
      <c r="L43" t="s">
        <v>68</v>
      </c>
      <c r="N43" t="s">
        <v>140</v>
      </c>
      <c r="O43" t="s">
        <v>238</v>
      </c>
      <c r="P43" t="s">
        <v>79</v>
      </c>
      <c r="Q43" t="s">
        <v>72</v>
      </c>
      <c r="R43" t="s">
        <v>229</v>
      </c>
      <c r="S43" t="s">
        <v>187</v>
      </c>
      <c r="T43" t="s">
        <v>2</v>
      </c>
      <c r="U43" t="s">
        <v>12</v>
      </c>
    </row>
    <row r="44" spans="1:21" x14ac:dyDescent="0.25">
      <c r="A44" t="s">
        <v>63</v>
      </c>
      <c r="B44" t="s">
        <v>239</v>
      </c>
      <c r="C44" t="s">
        <v>118</v>
      </c>
      <c r="D44" t="s">
        <v>126</v>
      </c>
      <c r="E44" t="s">
        <v>240</v>
      </c>
      <c r="F44" t="s">
        <v>241</v>
      </c>
      <c r="I44" t="s">
        <v>242</v>
      </c>
      <c r="J44" t="s">
        <v>239</v>
      </c>
      <c r="K44">
        <v>-432</v>
      </c>
      <c r="L44" t="s">
        <v>68</v>
      </c>
      <c r="M44" t="s">
        <v>243</v>
      </c>
      <c r="P44" t="s">
        <v>71</v>
      </c>
      <c r="Q44" t="s">
        <v>72</v>
      </c>
      <c r="R44" t="s">
        <v>229</v>
      </c>
      <c r="S44" t="s">
        <v>187</v>
      </c>
      <c r="T44" t="s">
        <v>1</v>
      </c>
      <c r="U44" t="s">
        <v>11</v>
      </c>
    </row>
    <row r="45" spans="1:21" x14ac:dyDescent="0.25">
      <c r="A45" t="s">
        <v>63</v>
      </c>
      <c r="B45" t="s">
        <v>239</v>
      </c>
      <c r="C45" t="s">
        <v>118</v>
      </c>
      <c r="D45" t="s">
        <v>130</v>
      </c>
      <c r="E45" t="s">
        <v>244</v>
      </c>
      <c r="F45" t="s">
        <v>245</v>
      </c>
      <c r="I45" t="s">
        <v>246</v>
      </c>
      <c r="J45" t="s">
        <v>239</v>
      </c>
      <c r="K45">
        <v>-375</v>
      </c>
      <c r="L45" t="s">
        <v>68</v>
      </c>
      <c r="M45" t="s">
        <v>247</v>
      </c>
      <c r="O45" t="s">
        <v>246</v>
      </c>
      <c r="P45" t="s">
        <v>248</v>
      </c>
      <c r="Q45" t="s">
        <v>72</v>
      </c>
      <c r="R45" t="s">
        <v>229</v>
      </c>
      <c r="S45" t="s">
        <v>187</v>
      </c>
    </row>
    <row r="46" spans="1:21" x14ac:dyDescent="0.25">
      <c r="A46" t="s">
        <v>63</v>
      </c>
      <c r="B46" t="s">
        <v>239</v>
      </c>
      <c r="C46" t="s">
        <v>118</v>
      </c>
      <c r="D46" t="s">
        <v>136</v>
      </c>
      <c r="F46" t="s">
        <v>81</v>
      </c>
      <c r="H46" t="s">
        <v>249</v>
      </c>
      <c r="I46" t="s">
        <v>250</v>
      </c>
      <c r="J46" t="s">
        <v>239</v>
      </c>
      <c r="K46">
        <v>-0.16</v>
      </c>
      <c r="L46" t="s">
        <v>68</v>
      </c>
      <c r="N46" t="s">
        <v>78</v>
      </c>
      <c r="O46" t="s">
        <v>250</v>
      </c>
      <c r="P46" t="s">
        <v>84</v>
      </c>
      <c r="Q46" t="s">
        <v>72</v>
      </c>
      <c r="R46" t="s">
        <v>229</v>
      </c>
      <c r="S46" t="s">
        <v>187</v>
      </c>
      <c r="T46" t="s">
        <v>1</v>
      </c>
      <c r="U46" t="s">
        <v>6</v>
      </c>
    </row>
    <row r="47" spans="1:21" x14ac:dyDescent="0.25">
      <c r="A47" t="s">
        <v>63</v>
      </c>
      <c r="B47" t="s">
        <v>239</v>
      </c>
      <c r="C47" t="s">
        <v>118</v>
      </c>
      <c r="D47" t="s">
        <v>141</v>
      </c>
      <c r="E47" t="s">
        <v>251</v>
      </c>
      <c r="F47" t="s">
        <v>252</v>
      </c>
      <c r="G47" t="s">
        <v>253</v>
      </c>
      <c r="H47" t="s">
        <v>254</v>
      </c>
      <c r="I47" t="s">
        <v>255</v>
      </c>
      <c r="J47" t="s">
        <v>239</v>
      </c>
      <c r="K47">
        <v>0.1</v>
      </c>
      <c r="L47" t="s">
        <v>68</v>
      </c>
      <c r="M47" t="s">
        <v>256</v>
      </c>
      <c r="N47" t="s">
        <v>78</v>
      </c>
      <c r="O47" t="s">
        <v>257</v>
      </c>
      <c r="P47" t="s">
        <v>258</v>
      </c>
      <c r="Q47" t="s">
        <v>259</v>
      </c>
      <c r="R47" t="s">
        <v>229</v>
      </c>
      <c r="S47" t="s">
        <v>187</v>
      </c>
      <c r="T47" t="s">
        <v>0</v>
      </c>
      <c r="U47" t="s">
        <v>10</v>
      </c>
    </row>
    <row r="48" spans="1:21" x14ac:dyDescent="0.25">
      <c r="A48" t="s">
        <v>63</v>
      </c>
      <c r="B48" t="s">
        <v>260</v>
      </c>
      <c r="C48" t="s">
        <v>129</v>
      </c>
      <c r="D48" t="s">
        <v>144</v>
      </c>
      <c r="E48" t="s">
        <v>261</v>
      </c>
      <c r="F48" t="s">
        <v>262</v>
      </c>
      <c r="I48" t="s">
        <v>263</v>
      </c>
      <c r="J48" t="s">
        <v>260</v>
      </c>
      <c r="K48">
        <v>-660</v>
      </c>
      <c r="L48" t="s">
        <v>68</v>
      </c>
      <c r="M48" t="s">
        <v>264</v>
      </c>
      <c r="O48" t="s">
        <v>265</v>
      </c>
      <c r="P48" t="s">
        <v>266</v>
      </c>
      <c r="Q48" t="s">
        <v>72</v>
      </c>
      <c r="R48" t="s">
        <v>267</v>
      </c>
      <c r="S48" t="s">
        <v>187</v>
      </c>
      <c r="T48" t="s">
        <v>1</v>
      </c>
      <c r="U48" t="s">
        <v>11</v>
      </c>
    </row>
    <row r="49" spans="1:21" x14ac:dyDescent="0.25">
      <c r="A49" t="s">
        <v>63</v>
      </c>
      <c r="B49" t="s">
        <v>268</v>
      </c>
      <c r="C49" t="s">
        <v>129</v>
      </c>
      <c r="D49" t="s">
        <v>146</v>
      </c>
      <c r="F49" t="s">
        <v>182</v>
      </c>
      <c r="H49" t="s">
        <v>183</v>
      </c>
      <c r="I49" t="s">
        <v>269</v>
      </c>
      <c r="J49" t="s">
        <v>268</v>
      </c>
      <c r="K49">
        <v>-323.47000000000003</v>
      </c>
      <c r="L49" t="s">
        <v>68</v>
      </c>
      <c r="N49" t="s">
        <v>185</v>
      </c>
      <c r="O49" t="s">
        <v>269</v>
      </c>
      <c r="P49" t="s">
        <v>79</v>
      </c>
      <c r="Q49" t="s">
        <v>72</v>
      </c>
      <c r="R49" t="s">
        <v>267</v>
      </c>
      <c r="S49" t="s">
        <v>187</v>
      </c>
      <c r="T49" t="s">
        <v>2</v>
      </c>
      <c r="U49" t="s">
        <v>7</v>
      </c>
    </row>
    <row r="50" spans="1:21" x14ac:dyDescent="0.25">
      <c r="A50" t="s">
        <v>63</v>
      </c>
      <c r="B50" t="s">
        <v>270</v>
      </c>
      <c r="C50" t="s">
        <v>154</v>
      </c>
      <c r="D50" t="s">
        <v>155</v>
      </c>
      <c r="F50" t="s">
        <v>271</v>
      </c>
      <c r="H50" t="s">
        <v>272</v>
      </c>
      <c r="I50" t="s">
        <v>273</v>
      </c>
      <c r="J50" t="s">
        <v>270</v>
      </c>
      <c r="K50">
        <v>-2.39</v>
      </c>
      <c r="L50" t="s">
        <v>68</v>
      </c>
      <c r="N50" t="s">
        <v>102</v>
      </c>
      <c r="O50" t="s">
        <v>273</v>
      </c>
      <c r="P50" t="s">
        <v>274</v>
      </c>
      <c r="Q50" t="s">
        <v>72</v>
      </c>
      <c r="R50" t="s">
        <v>267</v>
      </c>
      <c r="S50" t="s">
        <v>187</v>
      </c>
      <c r="T50" t="s">
        <v>3</v>
      </c>
      <c r="U50" t="s">
        <v>35</v>
      </c>
    </row>
    <row r="51" spans="1:21" x14ac:dyDescent="0.25">
      <c r="A51" t="s">
        <v>63</v>
      </c>
      <c r="B51" t="s">
        <v>270</v>
      </c>
      <c r="C51" t="s">
        <v>154</v>
      </c>
      <c r="D51" t="s">
        <v>159</v>
      </c>
      <c r="E51" t="s">
        <v>275</v>
      </c>
      <c r="F51" t="s">
        <v>276</v>
      </c>
      <c r="I51" t="s">
        <v>277</v>
      </c>
      <c r="J51" t="s">
        <v>270</v>
      </c>
      <c r="K51">
        <v>-77.5</v>
      </c>
      <c r="L51" t="s">
        <v>68</v>
      </c>
      <c r="M51" t="s">
        <v>278</v>
      </c>
      <c r="O51" t="s">
        <v>279</v>
      </c>
      <c r="P51" t="s">
        <v>152</v>
      </c>
      <c r="Q51" t="s">
        <v>72</v>
      </c>
      <c r="R51" t="s">
        <v>267</v>
      </c>
      <c r="S51" t="s">
        <v>187</v>
      </c>
      <c r="T51" t="s">
        <v>3</v>
      </c>
      <c r="U51" t="s">
        <v>8</v>
      </c>
    </row>
    <row r="52" spans="1:21" x14ac:dyDescent="0.25">
      <c r="A52" t="s">
        <v>63</v>
      </c>
      <c r="B52" t="s">
        <v>270</v>
      </c>
      <c r="C52" t="s">
        <v>154</v>
      </c>
      <c r="D52" t="s">
        <v>161</v>
      </c>
      <c r="E52" t="s">
        <v>275</v>
      </c>
      <c r="F52" t="s">
        <v>276</v>
      </c>
      <c r="I52" t="s">
        <v>280</v>
      </c>
      <c r="J52" t="s">
        <v>270</v>
      </c>
      <c r="K52">
        <v>-109</v>
      </c>
      <c r="L52" t="s">
        <v>68</v>
      </c>
      <c r="M52" t="s">
        <v>278</v>
      </c>
      <c r="O52" t="s">
        <v>281</v>
      </c>
      <c r="P52" t="s">
        <v>152</v>
      </c>
      <c r="Q52" t="s">
        <v>72</v>
      </c>
      <c r="R52" t="s">
        <v>267</v>
      </c>
      <c r="S52" t="s">
        <v>187</v>
      </c>
      <c r="T52" t="s">
        <v>3</v>
      </c>
      <c r="U52" t="s">
        <v>8</v>
      </c>
    </row>
    <row r="53" spans="1:21" x14ac:dyDescent="0.25">
      <c r="A53" t="s">
        <v>63</v>
      </c>
      <c r="B53" t="s">
        <v>282</v>
      </c>
      <c r="C53" t="s">
        <v>154</v>
      </c>
      <c r="D53" t="s">
        <v>92</v>
      </c>
      <c r="E53" t="s">
        <v>283</v>
      </c>
      <c r="F53" t="s">
        <v>284</v>
      </c>
      <c r="I53" t="s">
        <v>285</v>
      </c>
      <c r="J53" t="s">
        <v>282</v>
      </c>
      <c r="K53">
        <v>-1500</v>
      </c>
      <c r="L53" t="s">
        <v>68</v>
      </c>
      <c r="M53" t="s">
        <v>278</v>
      </c>
      <c r="O53" t="s">
        <v>286</v>
      </c>
      <c r="P53" t="s">
        <v>287</v>
      </c>
      <c r="Q53" t="s">
        <v>72</v>
      </c>
      <c r="R53" t="s">
        <v>267</v>
      </c>
      <c r="S53" t="s">
        <v>187</v>
      </c>
      <c r="T53" t="s">
        <v>3</v>
      </c>
      <c r="U53" t="s">
        <v>13</v>
      </c>
    </row>
    <row r="54" spans="1:21" x14ac:dyDescent="0.25">
      <c r="A54" t="s">
        <v>63</v>
      </c>
      <c r="B54" t="s">
        <v>288</v>
      </c>
      <c r="C54" t="s">
        <v>168</v>
      </c>
      <c r="D54" t="s">
        <v>118</v>
      </c>
      <c r="E54" t="s">
        <v>289</v>
      </c>
      <c r="F54" t="s">
        <v>290</v>
      </c>
      <c r="G54" t="s">
        <v>291</v>
      </c>
      <c r="H54" t="s">
        <v>292</v>
      </c>
      <c r="I54" t="s">
        <v>293</v>
      </c>
      <c r="J54" t="s">
        <v>294</v>
      </c>
      <c r="K54">
        <v>3000</v>
      </c>
      <c r="L54" t="s">
        <v>68</v>
      </c>
      <c r="M54" t="s">
        <v>295</v>
      </c>
      <c r="N54" t="s">
        <v>123</v>
      </c>
      <c r="O54" t="s">
        <v>296</v>
      </c>
      <c r="P54" t="s">
        <v>297</v>
      </c>
      <c r="Q54" t="s">
        <v>259</v>
      </c>
      <c r="R54" t="s">
        <v>298</v>
      </c>
      <c r="S54" t="s">
        <v>299</v>
      </c>
      <c r="T54" t="s">
        <v>4</v>
      </c>
      <c r="U54" t="s">
        <v>14</v>
      </c>
    </row>
    <row r="55" spans="1:21" x14ac:dyDescent="0.25">
      <c r="A55" t="s">
        <v>63</v>
      </c>
      <c r="B55" t="s">
        <v>300</v>
      </c>
      <c r="C55" t="s">
        <v>168</v>
      </c>
      <c r="D55" t="s">
        <v>129</v>
      </c>
      <c r="E55" t="s">
        <v>301</v>
      </c>
      <c r="F55" t="s">
        <v>302</v>
      </c>
      <c r="G55" t="s">
        <v>303</v>
      </c>
      <c r="H55" t="s">
        <v>304</v>
      </c>
      <c r="I55" t="s">
        <v>305</v>
      </c>
      <c r="J55" t="s">
        <v>300</v>
      </c>
      <c r="K55">
        <v>5000</v>
      </c>
      <c r="L55" t="s">
        <v>68</v>
      </c>
      <c r="M55" t="s">
        <v>306</v>
      </c>
      <c r="N55" t="s">
        <v>102</v>
      </c>
      <c r="P55" t="s">
        <v>307</v>
      </c>
      <c r="Q55" t="s">
        <v>259</v>
      </c>
      <c r="R55" t="s">
        <v>298</v>
      </c>
      <c r="S55" t="s">
        <v>299</v>
      </c>
      <c r="T55" t="s">
        <v>4</v>
      </c>
      <c r="U55" t="s">
        <v>14</v>
      </c>
    </row>
    <row r="56" spans="1:21" x14ac:dyDescent="0.25">
      <c r="A56" t="s">
        <v>63</v>
      </c>
      <c r="B56" t="s">
        <v>294</v>
      </c>
      <c r="C56" t="s">
        <v>168</v>
      </c>
      <c r="D56" t="s">
        <v>154</v>
      </c>
      <c r="E56" t="s">
        <v>289</v>
      </c>
      <c r="F56" t="s">
        <v>290</v>
      </c>
      <c r="G56" t="s">
        <v>291</v>
      </c>
      <c r="H56" t="s">
        <v>292</v>
      </c>
      <c r="I56" t="s">
        <v>308</v>
      </c>
      <c r="J56" t="s">
        <v>294</v>
      </c>
      <c r="K56">
        <v>2000</v>
      </c>
      <c r="L56" t="s">
        <v>68</v>
      </c>
      <c r="M56" t="s">
        <v>295</v>
      </c>
      <c r="N56" t="s">
        <v>123</v>
      </c>
      <c r="P56" t="s">
        <v>297</v>
      </c>
      <c r="Q56" t="s">
        <v>259</v>
      </c>
      <c r="R56" t="s">
        <v>298</v>
      </c>
      <c r="S56" t="s">
        <v>299</v>
      </c>
      <c r="T56" t="s">
        <v>4</v>
      </c>
      <c r="U56" t="s">
        <v>14</v>
      </c>
    </row>
    <row r="57" spans="1:21" x14ac:dyDescent="0.25">
      <c r="A57" t="s">
        <v>63</v>
      </c>
      <c r="B57" t="s">
        <v>294</v>
      </c>
      <c r="C57" t="s">
        <v>168</v>
      </c>
      <c r="D57" t="s">
        <v>168</v>
      </c>
      <c r="E57" t="s">
        <v>309</v>
      </c>
      <c r="F57" t="s">
        <v>310</v>
      </c>
      <c r="G57" t="s">
        <v>311</v>
      </c>
      <c r="H57" t="s">
        <v>312</v>
      </c>
      <c r="I57" t="s">
        <v>313</v>
      </c>
      <c r="J57" t="s">
        <v>294</v>
      </c>
      <c r="K57">
        <v>5000</v>
      </c>
      <c r="L57" t="s">
        <v>68</v>
      </c>
      <c r="M57" t="s">
        <v>114</v>
      </c>
      <c r="N57" t="s">
        <v>314</v>
      </c>
      <c r="O57" t="s">
        <v>315</v>
      </c>
      <c r="P57" t="s">
        <v>316</v>
      </c>
      <c r="Q57" t="s">
        <v>259</v>
      </c>
      <c r="R57" t="s">
        <v>298</v>
      </c>
      <c r="S57" t="s">
        <v>299</v>
      </c>
      <c r="T57" t="s">
        <v>4</v>
      </c>
      <c r="U57" t="s">
        <v>14</v>
      </c>
    </row>
  </sheetData>
  <dataValidations count="2">
    <dataValidation type="list" allowBlank="1" error="Choose a category" sqref="T2:T57" xr:uid="{00000000-0002-0000-0200-000000000000}">
      <formula1>"Revenue,Marketing,Technology,Administration,Capital &amp; Financing"</formula1>
    </dataValidation>
    <dataValidation type="list" allowBlank="1" error="Choose a subcategory for the selected category" sqref="U2:U57" xr:uid="{00000000-0002-0000-0200-000001000000}">
      <formula1>INDIRECT(SUBSTITUTE(SUBSTITUTE(SUBSTITUTE(INDIRECT(ADDRESS(ROW(),20))," &amp; ","_")," ","_"),"-","_"))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workbookViewId="0"/>
  </sheetViews>
  <sheetFormatPr defaultRowHeight="15" x14ac:dyDescent="0.25"/>
  <sheetData>
    <row r="1" spans="1:3" x14ac:dyDescent="0.25">
      <c r="A1" s="1" t="s">
        <v>317</v>
      </c>
    </row>
    <row r="2" spans="1:3" x14ac:dyDescent="0.25">
      <c r="A2" t="s">
        <v>318</v>
      </c>
      <c r="B2">
        <v>56</v>
      </c>
    </row>
    <row r="3" spans="1:3" x14ac:dyDescent="0.25">
      <c r="A3" t="s">
        <v>319</v>
      </c>
      <c r="B3">
        <f>SUMIF(Transactions!K2:K57,"&gt;0")</f>
        <v>15000.1</v>
      </c>
    </row>
    <row r="4" spans="1:3" x14ac:dyDescent="0.25">
      <c r="A4" t="s">
        <v>320</v>
      </c>
      <c r="B4">
        <f>ABS(SUMIF(Transactions!K2:K57,"&lt;0"))</f>
        <v>11672.99</v>
      </c>
    </row>
    <row r="5" spans="1:3" x14ac:dyDescent="0.25">
      <c r="A5" t="s">
        <v>321</v>
      </c>
      <c r="B5">
        <f>SUM(Transactions!K2:K57)</f>
        <v>3327.1100000000006</v>
      </c>
    </row>
    <row r="7" spans="1:3" x14ac:dyDescent="0.25">
      <c r="A7" s="1" t="s">
        <v>322</v>
      </c>
    </row>
    <row r="8" spans="1:3" x14ac:dyDescent="0.25">
      <c r="A8" s="1" t="s">
        <v>323</v>
      </c>
      <c r="B8" s="1" t="s">
        <v>324</v>
      </c>
      <c r="C8" s="1" t="s">
        <v>325</v>
      </c>
    </row>
    <row r="9" spans="1:3" x14ac:dyDescent="0.25">
      <c r="A9" t="s">
        <v>326</v>
      </c>
      <c r="B9" t="s">
        <v>326</v>
      </c>
      <c r="C9">
        <f>SUMIFS(Transactions!$K$2:$K$57,Transactions!$T$2:$T$57,"",Transactions!$U$2:$U$57,"")</f>
        <v>-375</v>
      </c>
    </row>
    <row r="10" spans="1:3" x14ac:dyDescent="0.25">
      <c r="A10" t="s">
        <v>0</v>
      </c>
      <c r="B10" t="s">
        <v>5</v>
      </c>
      <c r="C10">
        <f>SUMIFS(Transactions!$K$2:$K$57,Transactions!$T$2:$T$57,A10,Transactions!$U$2:$U$57,B10)</f>
        <v>0</v>
      </c>
    </row>
    <row r="11" spans="1:3" x14ac:dyDescent="0.25">
      <c r="A11" t="s">
        <v>0</v>
      </c>
      <c r="B11" t="s">
        <v>10</v>
      </c>
      <c r="C11">
        <f>SUMIFS(Transactions!$K$2:$K$57,Transactions!$T$2:$T$57,A11,Transactions!$U$2:$U$57,B11)</f>
        <v>0.1</v>
      </c>
    </row>
    <row r="12" spans="1:3" x14ac:dyDescent="0.25">
      <c r="A12" t="s">
        <v>0</v>
      </c>
      <c r="B12" t="s">
        <v>15</v>
      </c>
      <c r="C12">
        <f>SUMIFS(Transactions!$K$2:$K$57,Transactions!$T$2:$T$57,A12,Transactions!$U$2:$U$57,B12)</f>
        <v>0</v>
      </c>
    </row>
    <row r="13" spans="1:3" x14ac:dyDescent="0.25">
      <c r="A13" t="s">
        <v>0</v>
      </c>
      <c r="B13" t="s">
        <v>20</v>
      </c>
      <c r="C13">
        <f>SUMIFS(Transactions!$K$2:$K$57,Transactions!$T$2:$T$57,A13,Transactions!$U$2:$U$57,B13)</f>
        <v>0</v>
      </c>
    </row>
    <row r="14" spans="1:3" x14ac:dyDescent="0.25">
      <c r="A14" t="s">
        <v>0</v>
      </c>
      <c r="B14" t="s">
        <v>25</v>
      </c>
      <c r="C14">
        <f>SUMIFS(Transactions!$K$2:$K$57,Transactions!$T$2:$T$57,A14,Transactions!$U$2:$U$57,B14)</f>
        <v>0</v>
      </c>
    </row>
    <row r="15" spans="1:3" x14ac:dyDescent="0.25">
      <c r="A15" t="s">
        <v>0</v>
      </c>
      <c r="B15" t="s">
        <v>30</v>
      </c>
      <c r="C15">
        <f>SUMIFS(Transactions!$K$2:$K$57,Transactions!$T$2:$T$57,A15,Transactions!$U$2:$U$57,B15)</f>
        <v>0</v>
      </c>
    </row>
    <row r="16" spans="1:3" x14ac:dyDescent="0.25">
      <c r="A16" t="s">
        <v>0</v>
      </c>
      <c r="B16" t="s">
        <v>34</v>
      </c>
      <c r="C16">
        <f>SUMIFS(Transactions!$K$2:$K$57,Transactions!$T$2:$T$57,A16,Transactions!$U$2:$U$57,B16)</f>
        <v>0</v>
      </c>
    </row>
    <row r="17" spans="1:3" x14ac:dyDescent="0.25">
      <c r="A17" t="s">
        <v>1</v>
      </c>
      <c r="B17" t="s">
        <v>6</v>
      </c>
      <c r="C17">
        <f>SUMIFS(Transactions!$K$2:$K$57,Transactions!$T$2:$T$57,A17,Transactions!$U$2:$U$57,B17)</f>
        <v>-1233.26</v>
      </c>
    </row>
    <row r="18" spans="1:3" x14ac:dyDescent="0.25">
      <c r="A18" t="s">
        <v>1</v>
      </c>
      <c r="B18" t="s">
        <v>11</v>
      </c>
      <c r="C18">
        <f>SUMIFS(Transactions!$K$2:$K$57,Transactions!$T$2:$T$57,A18,Transactions!$U$2:$U$57,B18)</f>
        <v>-3309</v>
      </c>
    </row>
    <row r="19" spans="1:3" x14ac:dyDescent="0.25">
      <c r="A19" t="s">
        <v>1</v>
      </c>
      <c r="B19" t="s">
        <v>16</v>
      </c>
      <c r="C19">
        <f>SUMIFS(Transactions!$K$2:$K$57,Transactions!$T$2:$T$57,A19,Transactions!$U$2:$U$57,B19)</f>
        <v>0</v>
      </c>
    </row>
    <row r="20" spans="1:3" x14ac:dyDescent="0.25">
      <c r="A20" t="s">
        <v>1</v>
      </c>
      <c r="B20" t="s">
        <v>21</v>
      </c>
      <c r="C20">
        <f>SUMIFS(Transactions!$K$2:$K$57,Transactions!$T$2:$T$57,A20,Transactions!$U$2:$U$57,B20)</f>
        <v>0</v>
      </c>
    </row>
    <row r="21" spans="1:3" x14ac:dyDescent="0.25">
      <c r="A21" t="s">
        <v>1</v>
      </c>
      <c r="B21" t="s">
        <v>26</v>
      </c>
      <c r="C21">
        <f>SUMIFS(Transactions!$K$2:$K$57,Transactions!$T$2:$T$57,A21,Transactions!$U$2:$U$57,B21)</f>
        <v>0</v>
      </c>
    </row>
    <row r="22" spans="1:3" x14ac:dyDescent="0.25">
      <c r="A22" t="s">
        <v>1</v>
      </c>
      <c r="B22" t="s">
        <v>31</v>
      </c>
      <c r="C22">
        <f>SUMIFS(Transactions!$K$2:$K$57,Transactions!$T$2:$T$57,A22,Transactions!$U$2:$U$57,B22)</f>
        <v>0</v>
      </c>
    </row>
    <row r="23" spans="1:3" x14ac:dyDescent="0.25">
      <c r="A23" t="s">
        <v>1</v>
      </c>
      <c r="B23" t="s">
        <v>34</v>
      </c>
      <c r="C23">
        <f>SUMIFS(Transactions!$K$2:$K$57,Transactions!$T$2:$T$57,A23,Transactions!$U$2:$U$57,B23)</f>
        <v>0</v>
      </c>
    </row>
    <row r="24" spans="1:3" x14ac:dyDescent="0.25">
      <c r="A24" t="s">
        <v>2</v>
      </c>
      <c r="B24" t="s">
        <v>7</v>
      </c>
      <c r="C24">
        <f>SUMIFS(Transactions!$K$2:$K$57,Transactions!$T$2:$T$57,A24,Transactions!$U$2:$U$57,B24)</f>
        <v>-3667.1000000000004</v>
      </c>
    </row>
    <row r="25" spans="1:3" x14ac:dyDescent="0.25">
      <c r="A25" t="s">
        <v>2</v>
      </c>
      <c r="B25" t="s">
        <v>12</v>
      </c>
      <c r="C25">
        <f>SUMIFS(Transactions!$K$2:$K$57,Transactions!$T$2:$T$57,A25,Transactions!$U$2:$U$57,B25)</f>
        <v>-92.62</v>
      </c>
    </row>
    <row r="26" spans="1:3" x14ac:dyDescent="0.25">
      <c r="A26" t="s">
        <v>2</v>
      </c>
      <c r="B26" t="s">
        <v>17</v>
      </c>
      <c r="C26">
        <f>SUMIFS(Transactions!$K$2:$K$57,Transactions!$T$2:$T$57,A26,Transactions!$U$2:$U$57,B26)</f>
        <v>-91.86</v>
      </c>
    </row>
    <row r="27" spans="1:3" x14ac:dyDescent="0.25">
      <c r="A27" t="s">
        <v>2</v>
      </c>
      <c r="B27" t="s">
        <v>22</v>
      </c>
      <c r="C27">
        <f>SUMIFS(Transactions!$K$2:$K$57,Transactions!$T$2:$T$57,A27,Transactions!$U$2:$U$57,B27)</f>
        <v>0</v>
      </c>
    </row>
    <row r="28" spans="1:3" x14ac:dyDescent="0.25">
      <c r="A28" t="s">
        <v>2</v>
      </c>
      <c r="B28" t="s">
        <v>27</v>
      </c>
      <c r="C28">
        <f>SUMIFS(Transactions!$K$2:$K$57,Transactions!$T$2:$T$57,A28,Transactions!$U$2:$U$57,B28)</f>
        <v>0</v>
      </c>
    </row>
    <row r="29" spans="1:3" x14ac:dyDescent="0.25">
      <c r="A29" t="s">
        <v>2</v>
      </c>
      <c r="B29" t="s">
        <v>32</v>
      </c>
      <c r="C29">
        <f>SUMIFS(Transactions!$K$2:$K$57,Transactions!$T$2:$T$57,A29,Transactions!$U$2:$U$57,B29)</f>
        <v>0</v>
      </c>
    </row>
    <row r="30" spans="1:3" x14ac:dyDescent="0.25">
      <c r="A30" t="s">
        <v>2</v>
      </c>
      <c r="B30" t="s">
        <v>34</v>
      </c>
      <c r="C30">
        <f>SUMIFS(Transactions!$K$2:$K$57,Transactions!$T$2:$T$57,A30,Transactions!$U$2:$U$57,B30)</f>
        <v>0</v>
      </c>
    </row>
    <row r="31" spans="1:3" x14ac:dyDescent="0.25">
      <c r="A31" t="s">
        <v>3</v>
      </c>
      <c r="B31" t="s">
        <v>8</v>
      </c>
      <c r="C31">
        <f>SUMIFS(Transactions!$K$2:$K$57,Transactions!$T$2:$T$57,A31,Transactions!$U$2:$U$57,B31)</f>
        <v>-1094</v>
      </c>
    </row>
    <row r="32" spans="1:3" x14ac:dyDescent="0.25">
      <c r="A32" t="s">
        <v>3</v>
      </c>
      <c r="B32" t="s">
        <v>13</v>
      </c>
      <c r="C32">
        <f>SUMIFS(Transactions!$K$2:$K$57,Transactions!$T$2:$T$57,A32,Transactions!$U$2:$U$57,B32)</f>
        <v>-1500</v>
      </c>
    </row>
    <row r="33" spans="1:3" x14ac:dyDescent="0.25">
      <c r="A33" t="s">
        <v>3</v>
      </c>
      <c r="B33" t="s">
        <v>18</v>
      </c>
      <c r="C33">
        <f>SUMIFS(Transactions!$K$2:$K$57,Transactions!$T$2:$T$57,A33,Transactions!$U$2:$U$57,B33)</f>
        <v>-16.200000000000003</v>
      </c>
    </row>
    <row r="34" spans="1:3" x14ac:dyDescent="0.25">
      <c r="A34" t="s">
        <v>3</v>
      </c>
      <c r="B34" t="s">
        <v>23</v>
      </c>
      <c r="C34">
        <f>SUMIFS(Transactions!$K$2:$K$57,Transactions!$T$2:$T$57,A34,Transactions!$U$2:$U$57,B34)</f>
        <v>-20</v>
      </c>
    </row>
    <row r="35" spans="1:3" x14ac:dyDescent="0.25">
      <c r="A35" t="s">
        <v>3</v>
      </c>
      <c r="B35" t="s">
        <v>28</v>
      </c>
      <c r="C35">
        <f>SUMIFS(Transactions!$K$2:$K$57,Transactions!$T$2:$T$57,A35,Transactions!$U$2:$U$57,B35)</f>
        <v>0</v>
      </c>
    </row>
    <row r="36" spans="1:3" x14ac:dyDescent="0.25">
      <c r="A36" t="s">
        <v>3</v>
      </c>
      <c r="B36" t="s">
        <v>33</v>
      </c>
      <c r="C36">
        <f>SUMIFS(Transactions!$K$2:$K$57,Transactions!$T$2:$T$57,A36,Transactions!$U$2:$U$57,B36)</f>
        <v>0</v>
      </c>
    </row>
    <row r="37" spans="1:3" x14ac:dyDescent="0.25">
      <c r="A37" t="s">
        <v>3</v>
      </c>
      <c r="B37" t="s">
        <v>35</v>
      </c>
      <c r="C37">
        <f>SUMIFS(Transactions!$K$2:$K$57,Transactions!$T$2:$T$57,A37,Transactions!$U$2:$U$57,B37)</f>
        <v>-273.95</v>
      </c>
    </row>
    <row r="38" spans="1:3" x14ac:dyDescent="0.25">
      <c r="A38" t="s">
        <v>3</v>
      </c>
      <c r="B38" t="s">
        <v>34</v>
      </c>
      <c r="C38">
        <f>SUMIFS(Transactions!$K$2:$K$57,Transactions!$T$2:$T$57,A38,Transactions!$U$2:$U$57,B38)</f>
        <v>0</v>
      </c>
    </row>
    <row r="39" spans="1:3" x14ac:dyDescent="0.25">
      <c r="A39" t="s">
        <v>4</v>
      </c>
      <c r="B39" t="s">
        <v>9</v>
      </c>
      <c r="C39">
        <f>SUMIFS(Transactions!$K$2:$K$57,Transactions!$T$2:$T$57,A39,Transactions!$U$2:$U$57,B39)</f>
        <v>0</v>
      </c>
    </row>
    <row r="40" spans="1:3" x14ac:dyDescent="0.25">
      <c r="A40" t="s">
        <v>4</v>
      </c>
      <c r="B40" t="s">
        <v>14</v>
      </c>
      <c r="C40">
        <f>SUMIFS(Transactions!$K$2:$K$57,Transactions!$T$2:$T$57,A40,Transactions!$U$2:$U$57,B40)</f>
        <v>15000</v>
      </c>
    </row>
    <row r="41" spans="1:3" x14ac:dyDescent="0.25">
      <c r="A41" t="s">
        <v>4</v>
      </c>
      <c r="B41" t="s">
        <v>19</v>
      </c>
      <c r="C41">
        <f>SUMIFS(Transactions!$K$2:$K$57,Transactions!$T$2:$T$57,A41,Transactions!$U$2:$U$57,B41)</f>
        <v>0</v>
      </c>
    </row>
    <row r="42" spans="1:3" x14ac:dyDescent="0.25">
      <c r="A42" t="s">
        <v>4</v>
      </c>
      <c r="B42" t="s">
        <v>24</v>
      </c>
      <c r="C42">
        <f>SUMIFS(Transactions!$K$2:$K$57,Transactions!$T$2:$T$57,A42,Transactions!$U$2:$U$57,B42)</f>
        <v>0</v>
      </c>
    </row>
    <row r="43" spans="1:3" x14ac:dyDescent="0.25">
      <c r="A43" t="s">
        <v>4</v>
      </c>
      <c r="B43" t="s">
        <v>29</v>
      </c>
      <c r="C43">
        <f>SUMIFS(Transactions!$K$2:$K$57,Transactions!$T$2:$T$57,A43,Transactions!$U$2:$U$57,B43)</f>
        <v>0</v>
      </c>
    </row>
    <row r="44" spans="1:3" x14ac:dyDescent="0.25">
      <c r="A44" t="s">
        <v>4</v>
      </c>
      <c r="B44" t="s">
        <v>34</v>
      </c>
      <c r="C44">
        <f>SUMIFS(Transactions!$K$2:$K$57,Transactions!$T$2:$T$57,A44,Transactions!$U$2:$U$57,B44)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I13" sqref="I13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8.28515625" bestFit="1" customWidth="1"/>
    <col min="4" max="4" width="10.140625" bestFit="1" customWidth="1"/>
    <col min="5" max="5" width="8.85546875" bestFit="1" customWidth="1"/>
    <col min="6" max="6" width="11.140625" bestFit="1" customWidth="1"/>
    <col min="7" max="7" width="7.28515625" bestFit="1" customWidth="1"/>
    <col min="8" max="8" width="11.28515625" bestFit="1" customWidth="1"/>
  </cols>
  <sheetData>
    <row r="1" spans="1:8" x14ac:dyDescent="0.25">
      <c r="A1" s="2" t="s">
        <v>331</v>
      </c>
      <c r="B1" s="2" t="s">
        <v>329</v>
      </c>
    </row>
    <row r="2" spans="1:8" x14ac:dyDescent="0.25">
      <c r="A2" s="2" t="s">
        <v>327</v>
      </c>
      <c r="B2" t="s">
        <v>3</v>
      </c>
      <c r="C2" t="s">
        <v>4</v>
      </c>
      <c r="D2" t="s">
        <v>1</v>
      </c>
      <c r="E2" t="s">
        <v>0</v>
      </c>
      <c r="F2" t="s">
        <v>2</v>
      </c>
      <c r="G2" t="s">
        <v>330</v>
      </c>
      <c r="H2" t="s">
        <v>328</v>
      </c>
    </row>
    <row r="3" spans="1:8" x14ac:dyDescent="0.25">
      <c r="A3" s="3" t="s">
        <v>299</v>
      </c>
      <c r="C3">
        <v>8000</v>
      </c>
      <c r="E3">
        <v>7000</v>
      </c>
      <c r="H3">
        <v>15000</v>
      </c>
    </row>
    <row r="4" spans="1:8" x14ac:dyDescent="0.25">
      <c r="A4" s="4" t="s">
        <v>298</v>
      </c>
      <c r="C4">
        <v>8000</v>
      </c>
      <c r="E4">
        <v>7000</v>
      </c>
      <c r="H4">
        <v>15000</v>
      </c>
    </row>
    <row r="5" spans="1:8" x14ac:dyDescent="0.25">
      <c r="A5" s="3" t="s">
        <v>187</v>
      </c>
      <c r="B5">
        <v>-1849.5</v>
      </c>
      <c r="D5">
        <v>-1682.8000000000002</v>
      </c>
      <c r="E5">
        <v>0.1</v>
      </c>
      <c r="F5">
        <v>-3713.78</v>
      </c>
      <c r="G5">
        <v>-375</v>
      </c>
      <c r="H5">
        <v>-7620.98</v>
      </c>
    </row>
    <row r="6" spans="1:8" x14ac:dyDescent="0.25">
      <c r="A6" s="4" t="s">
        <v>267</v>
      </c>
      <c r="B6">
        <v>-1688.8899999999999</v>
      </c>
      <c r="D6">
        <v>-660</v>
      </c>
      <c r="F6">
        <v>-323.47000000000003</v>
      </c>
      <c r="H6">
        <v>-2672.3599999999997</v>
      </c>
    </row>
    <row r="7" spans="1:8" x14ac:dyDescent="0.25">
      <c r="A7" s="4" t="s">
        <v>229</v>
      </c>
      <c r="B7">
        <v>-7.23</v>
      </c>
      <c r="D7">
        <v>-442.16</v>
      </c>
      <c r="E7">
        <v>0.1</v>
      </c>
      <c r="F7">
        <v>-349.63</v>
      </c>
      <c r="G7">
        <v>-375</v>
      </c>
      <c r="H7">
        <v>-1173.92</v>
      </c>
    </row>
    <row r="8" spans="1:8" x14ac:dyDescent="0.25">
      <c r="A8" s="4" t="s">
        <v>186</v>
      </c>
      <c r="B8">
        <v>-153.38</v>
      </c>
      <c r="D8">
        <v>-580.64</v>
      </c>
      <c r="F8">
        <v>-3040.6800000000003</v>
      </c>
      <c r="H8">
        <v>-3774.7000000000003</v>
      </c>
    </row>
    <row r="9" spans="1:8" x14ac:dyDescent="0.25">
      <c r="A9" s="3" t="s">
        <v>74</v>
      </c>
      <c r="B9">
        <v>-1054.6500000000001</v>
      </c>
      <c r="D9">
        <v>-2859.46</v>
      </c>
      <c r="F9">
        <v>-137.80000000000001</v>
      </c>
      <c r="H9">
        <v>-4051.9100000000003</v>
      </c>
    </row>
    <row r="10" spans="1:8" x14ac:dyDescent="0.25">
      <c r="A10" s="4" t="s">
        <v>157</v>
      </c>
      <c r="B10">
        <v>-50.91</v>
      </c>
      <c r="D10">
        <v>-238.59</v>
      </c>
      <c r="F10">
        <v>-106.04</v>
      </c>
      <c r="H10">
        <v>-395.54</v>
      </c>
    </row>
    <row r="11" spans="1:8" x14ac:dyDescent="0.25">
      <c r="A11" s="4" t="s">
        <v>90</v>
      </c>
      <c r="B11">
        <v>-1003.74</v>
      </c>
      <c r="D11">
        <v>-1416.6799999999998</v>
      </c>
      <c r="F11">
        <v>-31.759999999999998</v>
      </c>
      <c r="H11">
        <v>-2452.1800000000003</v>
      </c>
    </row>
    <row r="12" spans="1:8" x14ac:dyDescent="0.25">
      <c r="A12" s="4" t="s">
        <v>73</v>
      </c>
      <c r="D12">
        <v>-1204.19</v>
      </c>
      <c r="H12">
        <v>-1204.19</v>
      </c>
    </row>
    <row r="13" spans="1:8" x14ac:dyDescent="0.25">
      <c r="A13" s="3" t="s">
        <v>328</v>
      </c>
      <c r="B13">
        <v>-2904.15</v>
      </c>
      <c r="C13">
        <v>8000</v>
      </c>
      <c r="D13">
        <v>-4542.26</v>
      </c>
      <c r="E13">
        <v>7000.1</v>
      </c>
      <c r="F13">
        <v>-3851.5800000000004</v>
      </c>
      <c r="G13">
        <v>-375</v>
      </c>
      <c r="H13">
        <v>3327.1099999999983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Subcategories</vt:lpstr>
      <vt:lpstr>Lists</vt:lpstr>
      <vt:lpstr>Transactions</vt:lpstr>
      <vt:lpstr>Summary</vt:lpstr>
      <vt:lpstr>Pivot</vt:lpstr>
      <vt:lpstr>Administration</vt:lpstr>
      <vt:lpstr>Capital_Financing</vt:lpstr>
      <vt:lpstr>Marketing</vt:lpstr>
      <vt:lpstr>Revenue</vt:lpstr>
      <vt:lpstr>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de biolley</cp:lastModifiedBy>
  <dcterms:created xsi:type="dcterms:W3CDTF">2026-03-03T15:00:27Z</dcterms:created>
  <dcterms:modified xsi:type="dcterms:W3CDTF">2026-03-03T15:01:35Z</dcterms:modified>
</cp:coreProperties>
</file>